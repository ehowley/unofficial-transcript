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eoTrans\"/>
    </mc:Choice>
  </mc:AlternateContent>
  <bookViews>
    <workbookView xWindow="0" yWindow="0" windowWidth="19200" windowHeight="7040"/>
  </bookViews>
  <sheets>
    <sheet name="Sheet3" sheetId="3" r:id="rId1"/>
    <sheet name="Sheet1" sheetId="1" r:id="rId2"/>
    <sheet name="Sheet2" sheetId="2" r:id="rId3"/>
  </sheets>
  <definedNames>
    <definedName name="_xlnm._FilterDatabase" localSheetId="1" hidden="1">Sheet1!$C$3:$E$202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6" i="1" l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5" i="1"/>
  <c r="Q16" i="2"/>
  <c r="Q13" i="2"/>
  <c r="Q10" i="2"/>
  <c r="Q7" i="2"/>
  <c r="Q4" i="2"/>
  <c r="AB6" i="1"/>
  <c r="AB7" i="1"/>
  <c r="AC7" i="1" s="1"/>
  <c r="AB8" i="1"/>
  <c r="AC8" i="1" s="1"/>
  <c r="AB9" i="1"/>
  <c r="AC9" i="1" s="1"/>
  <c r="AB10" i="1"/>
  <c r="AC10" i="1" s="1"/>
  <c r="AB11" i="1"/>
  <c r="AC11" i="1" s="1"/>
  <c r="AB12" i="1"/>
  <c r="AC12" i="1" s="1"/>
  <c r="AB13" i="1"/>
  <c r="AC13" i="1" s="1"/>
  <c r="AB14" i="1"/>
  <c r="AC14" i="1" s="1"/>
  <c r="AB15" i="1"/>
  <c r="AC15" i="1" s="1"/>
  <c r="AB16" i="1"/>
  <c r="AC16" i="1" s="1"/>
  <c r="AB17" i="1"/>
  <c r="AC17" i="1" s="1"/>
  <c r="AB18" i="1"/>
  <c r="AC18" i="1" s="1"/>
  <c r="AB19" i="1"/>
  <c r="AC19" i="1" s="1"/>
  <c r="AB20" i="1"/>
  <c r="AC20" i="1" s="1"/>
  <c r="AB21" i="1"/>
  <c r="AC21" i="1" s="1"/>
  <c r="AB22" i="1"/>
  <c r="AC22" i="1" s="1"/>
  <c r="AB23" i="1"/>
  <c r="AC23" i="1" s="1"/>
  <c r="AB24" i="1"/>
  <c r="AC24" i="1" s="1"/>
  <c r="AB25" i="1"/>
  <c r="AC25" i="1" s="1"/>
  <c r="AB26" i="1"/>
  <c r="AB27" i="1"/>
  <c r="AC27" i="1" s="1"/>
  <c r="AB28" i="1"/>
  <c r="AC28" i="1" s="1"/>
  <c r="AB29" i="1"/>
  <c r="AC29" i="1" s="1"/>
  <c r="AB30" i="1"/>
  <c r="AC30" i="1" s="1"/>
  <c r="AB31" i="1"/>
  <c r="AC31" i="1" s="1"/>
  <c r="AB32" i="1"/>
  <c r="AC32" i="1" s="1"/>
  <c r="AB33" i="1"/>
  <c r="AC33" i="1" s="1"/>
  <c r="AB34" i="1"/>
  <c r="AC34" i="1" s="1"/>
  <c r="AB35" i="1"/>
  <c r="AC35" i="1" s="1"/>
  <c r="AB36" i="1"/>
  <c r="AC36" i="1" s="1"/>
  <c r="AB5" i="1"/>
  <c r="AC5" i="1" s="1"/>
  <c r="AC6" i="1"/>
  <c r="AC26" i="1"/>
  <c r="S20" i="1" l="1"/>
  <c r="S17" i="1"/>
  <c r="S14" i="1"/>
  <c r="S11" i="1"/>
  <c r="S8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6" i="1"/>
  <c r="P2" i="1"/>
  <c r="L2" i="1"/>
</calcChain>
</file>

<file path=xl/sharedStrings.xml><?xml version="1.0" encoding="utf-8"?>
<sst xmlns="http://schemas.openxmlformats.org/spreadsheetml/2006/main" count="399" uniqueCount="261">
  <si>
    <t>5.83_1_ch00.tif</t>
  </si>
  <si>
    <t>5.83_1_ch01.tif</t>
  </si>
  <si>
    <t>5.83_1_ch02.tif</t>
  </si>
  <si>
    <t>5.83_1_ch03.tif</t>
  </si>
  <si>
    <t>5.83_2_ch00.tif</t>
  </si>
  <si>
    <t>5.83_2_ch01.tif</t>
  </si>
  <si>
    <t>5.83_2_ch02.tif</t>
  </si>
  <si>
    <t>5.83_2_ch03.tif</t>
  </si>
  <si>
    <t>5.83_3_ch00.tif</t>
  </si>
  <si>
    <t>5.83_3_ch01.tif</t>
  </si>
  <si>
    <t>5.83_3_ch02.tif</t>
  </si>
  <si>
    <t>5.83_3_ch03.tif</t>
  </si>
  <si>
    <t>6.45_1_ch00.tif</t>
  </si>
  <si>
    <t>6.45_1_ch01.tif</t>
  </si>
  <si>
    <t>6.45_1_ch02.tif</t>
  </si>
  <si>
    <t>6.45_1_ch03.tif</t>
  </si>
  <si>
    <t>6.45_2_ch00.tif</t>
  </si>
  <si>
    <t>6.45_2_ch01.tif</t>
  </si>
  <si>
    <t>6.45_2_ch02.tif</t>
  </si>
  <si>
    <t>6.45_2_ch03.tif</t>
  </si>
  <si>
    <t>6.45_3_ch00.tif</t>
  </si>
  <si>
    <t>6.45_3_ch01.tif</t>
  </si>
  <si>
    <t>6.45_3_ch02.tif</t>
  </si>
  <si>
    <t>6.45_3_ch03.tif</t>
  </si>
  <si>
    <t>7.13_1_ch00.tif</t>
  </si>
  <si>
    <t>7.13_1_ch01.tif</t>
  </si>
  <si>
    <t>7.13_1_ch02.tif</t>
  </si>
  <si>
    <t>7.13_1_ch03.tif</t>
  </si>
  <si>
    <t>7.13_2_ch00.tif</t>
  </si>
  <si>
    <t>7.13_2_ch01.tif</t>
  </si>
  <si>
    <t>7.13_2_ch02.tif</t>
  </si>
  <si>
    <t>7.13_2_ch03.tif</t>
  </si>
  <si>
    <t>7.13_3_ch00.tif</t>
  </si>
  <si>
    <t>7.13_3_ch01.tif</t>
  </si>
  <si>
    <t>7.13_3_ch02.tif</t>
  </si>
  <si>
    <t>7.13_3_ch03.tif</t>
  </si>
  <si>
    <t>7.59_1_ch00.tif</t>
  </si>
  <si>
    <t>7.59_1_ch01.tif</t>
  </si>
  <si>
    <t>7.59_1_ch02.tif</t>
  </si>
  <si>
    <t>7.59_1_ch03.tif</t>
  </si>
  <si>
    <t>7.59_2_ch00.tif</t>
  </si>
  <si>
    <t>7.59_2_ch01.tif</t>
  </si>
  <si>
    <t>7.59_2_ch02.tif</t>
  </si>
  <si>
    <t>7.59_2_ch03.tif</t>
  </si>
  <si>
    <t>7.59_3_ch00.tif</t>
  </si>
  <si>
    <t>7.59_3_ch01.tif</t>
  </si>
  <si>
    <t>7.59_3_ch02.tif</t>
  </si>
  <si>
    <t>7.59_3_ch03.tif</t>
  </si>
  <si>
    <t>8.15_1_ch00.tif</t>
  </si>
  <si>
    <t>8.15_1_ch01.tif</t>
  </si>
  <si>
    <t>8.15_1_ch02.tif</t>
  </si>
  <si>
    <t>8.15_1_ch03.tif</t>
  </si>
  <si>
    <t>8.15_2_ch00.tif</t>
  </si>
  <si>
    <t>8.15_2_ch01.tif</t>
  </si>
  <si>
    <t>8.15_2_ch02.tif</t>
  </si>
  <si>
    <t>8.15_2_ch03.tif</t>
  </si>
  <si>
    <t>8.15_3_ch00.tif</t>
  </si>
  <si>
    <t>8.15_3_ch01.tif</t>
  </si>
  <si>
    <t>8.15_3_ch02.tif</t>
  </si>
  <si>
    <t>8.15_3_ch03.tif</t>
  </si>
  <si>
    <t>8.15_Zstack_in glass to in bulk_z00_ch00.tif</t>
  </si>
  <si>
    <t>8.15_Zstack_in glass to in bulk_z00_ch01.tif</t>
  </si>
  <si>
    <t>8.15_Zstack_in glass to in bulk_z00_ch02.tif</t>
  </si>
  <si>
    <t>8.15_Zstack_in glass to in bulk_z00_ch03.tif</t>
  </si>
  <si>
    <t>8.15_Zstack_in glass to in bulk_z01_ch00.tif</t>
  </si>
  <si>
    <t>8.15_Zstack_in glass to in bulk_z01_ch01.tif</t>
  </si>
  <si>
    <t>8.15_Zstack_in glass to in bulk_z01_ch02.tif</t>
  </si>
  <si>
    <t>8.15_Zstack_in glass to in bulk_z01_ch03.tif</t>
  </si>
  <si>
    <t>8.15_Zstack_in glass to in bulk_z02_ch00.tif</t>
  </si>
  <si>
    <t>8.15_Zstack_in glass to in bulk_z02_ch01.tif</t>
  </si>
  <si>
    <t>8.15_Zstack_in glass to in bulk_z02_ch02.tif</t>
  </si>
  <si>
    <t>8.15_Zstack_in glass to in bulk_z02_ch03.tif</t>
  </si>
  <si>
    <t>8.15_Zstack_in glass to in bulk_z03_ch00.tif</t>
  </si>
  <si>
    <t>8.15_Zstack_in glass to in bulk_z03_ch01.tif</t>
  </si>
  <si>
    <t>8.15_Zstack_in glass to in bulk_z03_ch02.tif</t>
  </si>
  <si>
    <t>8.15_Zstack_in glass to in bulk_z03_ch03.tif</t>
  </si>
  <si>
    <t>8.15_Zstack_in glass to in bulk_z04_ch00.tif</t>
  </si>
  <si>
    <t>8.15_Zstack_in glass to in bulk_z04_ch01.tif</t>
  </si>
  <si>
    <t>8.15_Zstack_in glass to in bulk_z04_ch02.tif</t>
  </si>
  <si>
    <t>8.15_Zstack_in glass to in bulk_z04_ch03.tif</t>
  </si>
  <si>
    <t>8.15_Zstack_in glass to in bulk_z05_ch00.tif</t>
  </si>
  <si>
    <t>8.15_Zstack_in glass to in bulk_z05_ch01.tif</t>
  </si>
  <si>
    <t>8.15_Zstack_in glass to in bulk_z05_ch02.tif</t>
  </si>
  <si>
    <t>8.15_Zstack_in glass to in bulk_z05_ch03.tif</t>
  </si>
  <si>
    <t>8.15_Zstack_in glass to in bulk_z06_ch00.tif</t>
  </si>
  <si>
    <t>8.15_Zstack_in glass to in bulk_z06_ch01.tif</t>
  </si>
  <si>
    <t>8.15_Zstack_in glass to in bulk_z06_ch02.tif</t>
  </si>
  <si>
    <t>8.15_Zstack_in glass to in bulk_z06_ch03.tif</t>
  </si>
  <si>
    <t>8.15_Zstack_in glass to in bulk_z07_ch00.tif</t>
  </si>
  <si>
    <t>8.15_Zstack_in glass to in bulk_z07_ch01.tif</t>
  </si>
  <si>
    <t>8.15_Zstack_in glass to in bulk_z07_ch02.tif</t>
  </si>
  <si>
    <t>8.15_Zstack_in glass to in bulk_z07_ch03.tif</t>
  </si>
  <si>
    <t>8.15_Zstack_in glass to in bulk_z08_ch00.tif</t>
  </si>
  <si>
    <t>8.15_Zstack_in glass to in bulk_z08_ch01.tif</t>
  </si>
  <si>
    <t>8.15_Zstack_in glass to in bulk_z08_ch02.tif</t>
  </si>
  <si>
    <t>8.15_Zstack_in glass to in bulk_z08_ch03.tif</t>
  </si>
  <si>
    <t>8.15_Zstack_in glass to in bulk_z09_ch00.tif</t>
  </si>
  <si>
    <t>8.15_Zstack_in glass to in bulk_z09_ch01.tif</t>
  </si>
  <si>
    <t>8.15_Zstack_in glass to in bulk_z09_ch02.tif</t>
  </si>
  <si>
    <t>8.15_Zstack_in glass to in bulk_z09_ch03.tif</t>
  </si>
  <si>
    <t>8.15_Zstack_in glass to in bulk_z10_ch00.tif</t>
  </si>
  <si>
    <t>8.15_Zstack_in glass to in bulk_z10_ch01.tif</t>
  </si>
  <si>
    <t>8.15_Zstack_in glass to in bulk_z10_ch02.tif</t>
  </si>
  <si>
    <t>8.15_Zstack_in glass to in bulk_z10_ch03.tif</t>
  </si>
  <si>
    <t>8.15_Zstack_in glass to in bulk_z11_ch00.tif</t>
  </si>
  <si>
    <t>8.15_Zstack_in glass to in bulk_z11_ch01.tif</t>
  </si>
  <si>
    <t>8.15_Zstack_in glass to in bulk_z11_ch02.tif</t>
  </si>
  <si>
    <t>8.15_Zstack_in glass to in bulk_z11_ch03.tif</t>
  </si>
  <si>
    <t>8.15_Zstack_in glass to in bulk_z12_ch00.tif</t>
  </si>
  <si>
    <t>8.15_Zstack_in glass to in bulk_z12_ch01.tif</t>
  </si>
  <si>
    <t>8.15_Zstack_in glass to in bulk_z12_ch02.tif</t>
  </si>
  <si>
    <t>8.15_Zstack_in glass to in bulk_z12_ch03.tif</t>
  </si>
  <si>
    <t>8.15_Zstack_in glass to in bulk_z13_ch00.tif</t>
  </si>
  <si>
    <t>8.15_Zstack_in glass to in bulk_z13_ch01.tif</t>
  </si>
  <si>
    <t>8.15_Zstack_in glass to in bulk_z13_ch02.tif</t>
  </si>
  <si>
    <t>8.15_Zstack_in glass to in bulk_z13_ch03.tif</t>
  </si>
  <si>
    <t>8.15_Zstack_in glass to in bulk_z14_ch00.tif</t>
  </si>
  <si>
    <t>8.15_Zstack_in glass to in bulk_z14_ch01.tif</t>
  </si>
  <si>
    <t>8.15_Zstack_in glass to in bulk_z14_ch02.tif</t>
  </si>
  <si>
    <t>8.15_Zstack_in glass to in bulk_z14_ch03.tif</t>
  </si>
  <si>
    <t>8.15_Zstack_in glass to in bulk_z15_ch00.tif</t>
  </si>
  <si>
    <t>8.15_Zstack_in glass to in bulk_z15_ch01.tif</t>
  </si>
  <si>
    <t>8.15_Zstack_in glass to in bulk_z15_ch02.tif</t>
  </si>
  <si>
    <t>8.15_Zstack_in glass to in bulk_z15_ch03.tif</t>
  </si>
  <si>
    <t>8.15_Zstack_in glass to in bulk_z16_ch00.tif</t>
  </si>
  <si>
    <t>8.15_Zstack_in glass to in bulk_z16_ch01.tif</t>
  </si>
  <si>
    <t>8.15_Zstack_in glass to in bulk_z16_ch02.tif</t>
  </si>
  <si>
    <t>8.15_Zstack_in glass to in bulk_z16_ch03.tif</t>
  </si>
  <si>
    <t>8.15_Zstack_in glass to in bulk_z17_ch00.tif</t>
  </si>
  <si>
    <t>8.15_Zstack_in glass to in bulk_z17_ch01.tif</t>
  </si>
  <si>
    <t>8.15_Zstack_in glass to in bulk_z17_ch02.tif</t>
  </si>
  <si>
    <t>8.15_Zstack_in glass to in bulk_z17_ch03.tif</t>
  </si>
  <si>
    <t>8.15_Zstack_in glass to in bulk_z18_ch00.tif</t>
  </si>
  <si>
    <t>8.15_Zstack_in glass to in bulk_z18_ch01.tif</t>
  </si>
  <si>
    <t>8.15_Zstack_in glass to in bulk_z18_ch02.tif</t>
  </si>
  <si>
    <t>8.15_Zstack_in glass to in bulk_z18_ch03.tif</t>
  </si>
  <si>
    <t>8.15_Zstack_in glass to in bulk_z19_ch00.tif</t>
  </si>
  <si>
    <t>8.15_Zstack_in glass to in bulk_z19_ch01.tif</t>
  </si>
  <si>
    <t>8.15_Zstack_in glass to in bulk_z19_ch02.tif</t>
  </si>
  <si>
    <t>8.15_Zstack_in glass to in bulk_z19_ch03.tif</t>
  </si>
  <si>
    <t>8.15_Zstack_in glass to in bulk_z20_ch00.tif</t>
  </si>
  <si>
    <t>8.15_Zstack_in glass to in bulk_z20_ch01.tif</t>
  </si>
  <si>
    <t>8.15_Zstack_in glass to in bulk_z20_ch02.tif</t>
  </si>
  <si>
    <t>8.15_Zstack_in glass to in bulk_z20_ch03.tif</t>
  </si>
  <si>
    <t>8.15_Zstack_in glass to in bulk_z21_ch00.tif</t>
  </si>
  <si>
    <t>8.15_Zstack_in glass to in bulk_z21_ch01.tif</t>
  </si>
  <si>
    <t>8.15_Zstack_in glass to in bulk_z21_ch02.tif</t>
  </si>
  <si>
    <t>8.15_Zstack_in glass to in bulk_z21_ch03.tif</t>
  </si>
  <si>
    <t>8.15_Zstack_in glass to in bulk_z22_ch00.tif</t>
  </si>
  <si>
    <t>8.15_Zstack_in glass to in bulk_z22_ch01.tif</t>
  </si>
  <si>
    <t>8.15_Zstack_in glass to in bulk_z22_ch02.tif</t>
  </si>
  <si>
    <t>8.15_Zstack_in glass to in bulk_z22_ch03.tif</t>
  </si>
  <si>
    <t>8.15_Zstack_in glass to in bulk_z23_ch00.tif</t>
  </si>
  <si>
    <t>8.15_Zstack_in glass to in bulk_z23_ch01.tif</t>
  </si>
  <si>
    <t>8.15_Zstack_in glass to in bulk_z23_ch02.tif</t>
  </si>
  <si>
    <t>8.15_Zstack_in glass to in bulk_z23_ch03.tif</t>
  </si>
  <si>
    <t>8.15_Zstack_in glass to in bulk_z24_ch00.tif</t>
  </si>
  <si>
    <t>8.15_Zstack_in glass to in bulk_z24_ch01.tif</t>
  </si>
  <si>
    <t>8.15_Zstack_in glass to in bulk_z24_ch02.tif</t>
  </si>
  <si>
    <t>8.15_Zstack_in glass to in bulk_z24_ch03.tif</t>
  </si>
  <si>
    <t>8.15_Zstack_in glass to in bulk_z25_ch00.tif</t>
  </si>
  <si>
    <t>8.15_Zstack_in glass to in bulk_z25_ch01.tif</t>
  </si>
  <si>
    <t>8.15_Zstack_in glass to in bulk_z25_ch02.tif</t>
  </si>
  <si>
    <t>8.15_Zstack_in glass to in bulk_z25_ch03.tif</t>
  </si>
  <si>
    <t>8.15_Zstack_in glass to in bulk_z26_ch00.tif</t>
  </si>
  <si>
    <t>8.15_Zstack_in glass to in bulk_z26_ch01.tif</t>
  </si>
  <si>
    <t>8.15_Zstack_in glass to in bulk_z26_ch02.tif</t>
  </si>
  <si>
    <t>8.15_Zstack_in glass to in bulk_z26_ch03.tif</t>
  </si>
  <si>
    <t>8.15_Zstack_in glass to in bulk_z27_ch00.tif</t>
  </si>
  <si>
    <t>8.15_Zstack_in glass to in bulk_z27_ch01.tif</t>
  </si>
  <si>
    <t>8.15_Zstack_in glass to in bulk_z27_ch02.tif</t>
  </si>
  <si>
    <t>8.15_Zstack_in glass to in bulk_z27_ch03.tif</t>
  </si>
  <si>
    <t>8.15_Zstack_in glass to in bulk_z28_ch00.tif</t>
  </si>
  <si>
    <t>8.15_Zstack_in glass to in bulk_z28_ch01.tif</t>
  </si>
  <si>
    <t>8.15_Zstack_in glass to in bulk_z28_ch02.tif</t>
  </si>
  <si>
    <t>8.15_Zstack_in glass to in bulk_z28_ch03.tif</t>
  </si>
  <si>
    <t>8.15_Zstack_in glass to in bulk_z29_ch00.tif</t>
  </si>
  <si>
    <t>8.15_Zstack_in glass to in bulk_z29_ch01.tif</t>
  </si>
  <si>
    <t>8.15_Zstack_in glass to in bulk_z29_ch02.tif</t>
  </si>
  <si>
    <t>8.15_Zstack_in glass to in bulk_z29_ch03.tif</t>
  </si>
  <si>
    <t>8.15_Zstack_in glass to in bulk_z30_ch00.tif</t>
  </si>
  <si>
    <t>8.15_Zstack_in glass to in bulk_z30_ch01.tif</t>
  </si>
  <si>
    <t>8.15_Zstack_in glass to in bulk_z30_ch02.tif</t>
  </si>
  <si>
    <t>8.15_Zstack_in glass to in bulk_z30_ch03.tif</t>
  </si>
  <si>
    <t>8.15_Zstack_in glass to in bulk_z31_ch00.tif</t>
  </si>
  <si>
    <t>8.15_Zstack_in glass to in bulk_z31_ch01.tif</t>
  </si>
  <si>
    <t>8.15_Zstack_in glass to in bulk_z31_ch02.tif</t>
  </si>
  <si>
    <t>8.15_Zstack_in glass to in bulk_z31_ch03.tif</t>
  </si>
  <si>
    <t>Blank 1_ch00.tif</t>
  </si>
  <si>
    <t>Blank 1_ch01.tif</t>
  </si>
  <si>
    <t>Blank 1_ch02.tif</t>
  </si>
  <si>
    <t>Blank 1_ch03.tif</t>
  </si>
  <si>
    <t>Blank 2_ch00.tif</t>
  </si>
  <si>
    <t>Blank 2_ch01.tif</t>
  </si>
  <si>
    <t>Blank 2_ch02.tif</t>
  </si>
  <si>
    <t>Blank 2_ch03.tif</t>
  </si>
  <si>
    <t>Blank 3_ch00.tif</t>
  </si>
  <si>
    <t>Blank 3_ch01.tif</t>
  </si>
  <si>
    <t>Blank 3_ch02.tif</t>
  </si>
  <si>
    <t>Blank 3_ch03.tif</t>
  </si>
  <si>
    <t>ch01 blank ave</t>
  </si>
  <si>
    <t>ch02 blank ave</t>
  </si>
  <si>
    <t>mean</t>
  </si>
  <si>
    <t>normalized mean</t>
  </si>
  <si>
    <t>ch02/ch01</t>
  </si>
  <si>
    <t>average ratio</t>
  </si>
  <si>
    <t>pH</t>
  </si>
  <si>
    <r>
      <t>y = 2.9157x</t>
    </r>
    <r>
      <rPr>
        <vertAlign val="superscript"/>
        <sz val="9"/>
        <color rgb="FF595959"/>
        <rFont val="Calibri"/>
        <family val="2"/>
        <scheme val="minor"/>
      </rPr>
      <t>2</t>
    </r>
    <r>
      <rPr>
        <sz val="9"/>
        <color rgb="FF595959"/>
        <rFont val="Calibri"/>
        <family val="2"/>
        <scheme val="minor"/>
      </rPr>
      <t xml:space="preserve"> - 35.296x + 108.56</t>
    </r>
  </si>
  <si>
    <t>R² = 0.9994</t>
  </si>
  <si>
    <t>measured ratio</t>
  </si>
  <si>
    <t>depth from start</t>
  </si>
  <si>
    <t>cal. Model pH</t>
  </si>
  <si>
    <t>model R</t>
  </si>
  <si>
    <t>error</t>
  </si>
  <si>
    <r>
      <t>y = 4.108E-06x</t>
    </r>
    <r>
      <rPr>
        <vertAlign val="superscript"/>
        <sz val="9"/>
        <color rgb="FF595959"/>
        <rFont val="Calibri"/>
        <family val="2"/>
        <scheme val="minor"/>
      </rPr>
      <t>-2.394E+00</t>
    </r>
  </si>
  <si>
    <t>power model</t>
  </si>
  <si>
    <t>GSU1069</t>
  </si>
  <si>
    <t>GSU1251</t>
  </si>
  <si>
    <t>GSU1252</t>
  </si>
  <si>
    <t>GSU1257</t>
  </si>
  <si>
    <t>GSU1295</t>
  </si>
  <si>
    <t>GSU2154</t>
  </si>
  <si>
    <t>GSU2164</t>
  </si>
  <si>
    <t>GSU2951</t>
  </si>
  <si>
    <t>GSU3016</t>
  </si>
  <si>
    <t>GSU3219</t>
  </si>
  <si>
    <t>GSU3228</t>
  </si>
  <si>
    <t>GSU3410</t>
  </si>
  <si>
    <t>apr</t>
  </si>
  <si>
    <t>corA-1</t>
  </si>
  <si>
    <t>cysD</t>
  </si>
  <si>
    <t>cysK</t>
  </si>
  <si>
    <t>cysN</t>
  </si>
  <si>
    <t>cysP</t>
  </si>
  <si>
    <t>flhA</t>
  </si>
  <si>
    <t>iscR-1</t>
  </si>
  <si>
    <t>mcp40H-23</t>
  </si>
  <si>
    <t>metY-1</t>
  </si>
  <si>
    <t>mvhV</t>
  </si>
  <si>
    <t>rpmJ</t>
  </si>
  <si>
    <t>hypothetical</t>
  </si>
  <si>
    <t>lipoprotein</t>
  </si>
  <si>
    <t>multicopper oxidase with phosphopantotheine attachment site</t>
  </si>
  <si>
    <t>cytochrome c and periplasmic receptor, 1 heme-binding site</t>
  </si>
  <si>
    <t>periplasmic solute-binding protein</t>
  </si>
  <si>
    <t>ABC transporter ATP-binding protein</t>
  </si>
  <si>
    <t>metalloprotease domain-containing protein</t>
  </si>
  <si>
    <t>peptidase</t>
  </si>
  <si>
    <t>cytochrome c</t>
  </si>
  <si>
    <t>adenosine-5'-phosphosulfate reductase, glutathione-dependent</t>
  </si>
  <si>
    <t>magnesium transport protein CorA</t>
  </si>
  <si>
    <t>sulfate adenylyltransferase subunit</t>
  </si>
  <si>
    <t>cysteine synthase A</t>
  </si>
  <si>
    <t>sulfate ABC transporter substrate-binding protein</t>
  </si>
  <si>
    <t>flagellar biosynthesis protein FlhA</t>
  </si>
  <si>
    <t>helix-turn-helix iron-sulfur cluster-binding transcriptional regulator IscR</t>
  </si>
  <si>
    <t>methyl-accepting chemotaxis sensory transducer, class</t>
  </si>
  <si>
    <t>O-acetyl-L-homoserine sulfhydrylas</t>
  </si>
  <si>
    <t>methyl-accepting chemotaxis sensory transducer</t>
  </si>
  <si>
    <t>50S ribosomal protein L36</t>
  </si>
  <si>
    <t>24 genes with log2foldchange significant at adjust p&lt;0.05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</si>
</sst>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9"/>
      <color rgb="FF595959"/>
      <name val="Calibri"/>
      <family val="2"/>
      <scheme val="minor"/>
    </font>
    <font>
      <vertAlign val="superscript"/>
      <sz val="9"/>
      <color rgb="FF595959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rgb="FF000000"/>
      <name val="Lucida Console"/>
      <family val="3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3" fillId="2" borderId="1" applyNumberFormat="0" applyAlignment="0" applyProtection="0"/>
  </cellStyleXfs>
  <cellXfs count="7">
    <xf numFmtId="0" fontId="0" fillId="0" borderId="0" xfId="0"/>
    <xf numFmtId="0" fontId="1" fillId="0" borderId="0" xfId="0" applyFont="1" applyAlignment="1">
      <alignment horizontal="center" vertical="center" readingOrder="1"/>
    </xf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center" vertical="center" readingOrder="1"/>
    </xf>
    <xf numFmtId="0" fontId="4" fillId="0" borderId="0" xfId="0" applyFont="1" applyAlignment="1">
      <alignment vertical="center"/>
    </xf>
    <xf numFmtId="0" fontId="3" fillId="2" borderId="1" xfId="1"/>
  </cellXfs>
  <cellStyles count="2">
    <cellStyle name="Calculation" xfId="1" builtinId="22"/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Lucida Console"/>
        <family val="3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Sheet1!$Z$5:$Z$36</c:f>
              <c:numCache>
                <c:formatCode>General</c:formatCode>
                <c:ptCount val="32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</c:numCache>
            </c:numRef>
          </c:xVal>
          <c:yVal>
            <c:numRef>
              <c:f>Sheet1!$AE$5:$AE$36</c:f>
              <c:numCache>
                <c:formatCode>General</c:formatCode>
                <c:ptCount val="32"/>
                <c:pt idx="0">
                  <c:v>9.4932113179111788</c:v>
                </c:pt>
                <c:pt idx="1">
                  <c:v>9.4434066035184046</c:v>
                </c:pt>
                <c:pt idx="2">
                  <c:v>9.3125947715597235</c:v>
                </c:pt>
                <c:pt idx="3">
                  <c:v>9.1444942228497137</c:v>
                </c:pt>
                <c:pt idx="4">
                  <c:v>8.993302433036197</c:v>
                </c:pt>
                <c:pt idx="5">
                  <c:v>8.8455128679328041</c:v>
                </c:pt>
                <c:pt idx="6">
                  <c:v>8.7193086067380854</c:v>
                </c:pt>
                <c:pt idx="7">
                  <c:v>8.5848630999597777</c:v>
                </c:pt>
                <c:pt idx="8">
                  <c:v>8.4739716330601951</c:v>
                </c:pt>
                <c:pt idx="9">
                  <c:v>8.3873697380590571</c:v>
                </c:pt>
                <c:pt idx="10">
                  <c:v>8.2984880593303636</c:v>
                </c:pt>
                <c:pt idx="11">
                  <c:v>8.2113354122303104</c:v>
                </c:pt>
                <c:pt idx="12">
                  <c:v>8.1504464654450199</c:v>
                </c:pt>
                <c:pt idx="13">
                  <c:v>8.0509185443318056</c:v>
                </c:pt>
                <c:pt idx="14">
                  <c:v>8.006313602434183</c:v>
                </c:pt>
                <c:pt idx="15">
                  <c:v>7.9926285473143421</c:v>
                </c:pt>
                <c:pt idx="16">
                  <c:v>8.0539098071742625</c:v>
                </c:pt>
                <c:pt idx="17">
                  <c:v>8.10115934773353</c:v>
                </c:pt>
                <c:pt idx="18">
                  <c:v>8.1200065949791203</c:v>
                </c:pt>
                <c:pt idx="19">
                  <c:v>8.1154103453390025</c:v>
                </c:pt>
                <c:pt idx="20">
                  <c:v>8.1048794286987444</c:v>
                </c:pt>
                <c:pt idx="21">
                  <c:v>8.1039681879560632</c:v>
                </c:pt>
                <c:pt idx="22">
                  <c:v>8.1115739320359204</c:v>
                </c:pt>
                <c:pt idx="23">
                  <c:v>8.1209429258669363</c:v>
                </c:pt>
                <c:pt idx="24">
                  <c:v>8.1061770414470882</c:v>
                </c:pt>
                <c:pt idx="25">
                  <c:v>8.1236394067726074</c:v>
                </c:pt>
                <c:pt idx="26">
                  <c:v>8.1196927386544804</c:v>
                </c:pt>
                <c:pt idx="27">
                  <c:v>8.1293175776166535</c:v>
                </c:pt>
                <c:pt idx="28">
                  <c:v>8.1235223971883137</c:v>
                </c:pt>
                <c:pt idx="29">
                  <c:v>8.1288115556258216</c:v>
                </c:pt>
                <c:pt idx="30">
                  <c:v>8.1254501570453037</c:v>
                </c:pt>
                <c:pt idx="31">
                  <c:v>8.1314932780564533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F8-4111-BCC9-281243E6F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673512"/>
        <c:axId val="125671544"/>
      </c:scatterChart>
      <c:valAx>
        <c:axId val="125673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71544"/>
        <c:crosses val="autoZero"/>
        <c:crossBetween val="midCat"/>
      </c:valAx>
      <c:valAx>
        <c:axId val="125671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73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16441863517060368"/>
                  <c:y val="0.1203703703703703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Sheet1!$T$8:$T$20</c:f>
              <c:numCache>
                <c:formatCode>General</c:formatCode>
                <c:ptCount val="13"/>
                <c:pt idx="0">
                  <c:v>5.83</c:v>
                </c:pt>
                <c:pt idx="3">
                  <c:v>6.45</c:v>
                </c:pt>
                <c:pt idx="6">
                  <c:v>7.13</c:v>
                </c:pt>
                <c:pt idx="9">
                  <c:v>7.59</c:v>
                </c:pt>
                <c:pt idx="12">
                  <c:v>8.15</c:v>
                </c:pt>
              </c:numCache>
            </c:numRef>
          </c:xVal>
          <c:yVal>
            <c:numRef>
              <c:f>Sheet1!$S$8:$S$20</c:f>
              <c:numCache>
                <c:formatCode>General</c:formatCode>
                <c:ptCount val="13"/>
                <c:pt idx="0">
                  <c:v>1.8278433853748213</c:v>
                </c:pt>
                <c:pt idx="3">
                  <c:v>2.3111032555468127</c:v>
                </c:pt>
                <c:pt idx="6">
                  <c:v>5.1830170585061524</c:v>
                </c:pt>
                <c:pt idx="9">
                  <c:v>8.4368603382933518</c:v>
                </c:pt>
                <c:pt idx="12">
                  <c:v>14.652141554612177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F5-4425-8501-F26E11E27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246272"/>
        <c:axId val="429246600"/>
      </c:scatterChart>
      <c:valAx>
        <c:axId val="429246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246600"/>
        <c:crosses val="autoZero"/>
        <c:crossBetween val="midCat"/>
      </c:valAx>
      <c:valAx>
        <c:axId val="4292466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24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4.487095363079615E-3"/>
                  <c:y val="-0.31495370370370368"/>
                </c:manualLayout>
              </c:layout>
              <c:numFmt formatCode="0.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Sheet2!$O$4:$O$16</c:f>
              <c:numCache>
                <c:formatCode>General</c:formatCode>
                <c:ptCount val="13"/>
                <c:pt idx="0">
                  <c:v>1.8278433853748213</c:v>
                </c:pt>
                <c:pt idx="3">
                  <c:v>2.3111032555468127</c:v>
                </c:pt>
                <c:pt idx="6">
                  <c:v>5.1830170585061524</c:v>
                </c:pt>
                <c:pt idx="9">
                  <c:v>8.4368603382933518</c:v>
                </c:pt>
                <c:pt idx="12">
                  <c:v>14.652141554612177</c:v>
                </c:pt>
              </c:numCache>
            </c:numRef>
          </c:xVal>
          <c:yVal>
            <c:numRef>
              <c:f>Sheet2!$Q$4:$Q$16</c:f>
              <c:numCache>
                <c:formatCode>General</c:formatCode>
                <c:ptCount val="13"/>
                <c:pt idx="0">
                  <c:v>1.4791083881682056E-6</c:v>
                </c:pt>
                <c:pt idx="3">
                  <c:v>3.5481338923357463E-7</c:v>
                </c:pt>
                <c:pt idx="6">
                  <c:v>7.413102413009154E-8</c:v>
                </c:pt>
                <c:pt idx="9">
                  <c:v>2.5703957827688587E-8</c:v>
                </c:pt>
                <c:pt idx="12">
                  <c:v>7.0794578438413513E-9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23-4361-97EC-55CBE4CAC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799224"/>
        <c:axId val="432804144"/>
      </c:scatterChart>
      <c:valAx>
        <c:axId val="432799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804144"/>
        <c:crosses val="autoZero"/>
        <c:crossBetween val="midCat"/>
      </c:valAx>
      <c:valAx>
        <c:axId val="43280414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799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400050</xdr:colOff>
      <xdr:row>18</xdr:row>
      <xdr:rowOff>111125</xdr:rowOff>
    </xdr:from>
    <xdr:to>
      <xdr:col>27</xdr:col>
      <xdr:colOff>584200</xdr:colOff>
      <xdr:row>33</xdr:row>
      <xdr:rowOff>92075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EBEAC7-C5C7-49F5-AF56-22B720B2AC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3</xdr:row>
      <xdr:rowOff>82550</xdr:rowOff>
    </xdr:from>
    <xdr:to>
      <xdr:col>9</xdr:col>
      <xdr:colOff>317500</xdr:colOff>
      <xdr:row>18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505989-BC46-4599-83E9-D5771FB609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22225</xdr:colOff>
      <xdr:row>20</xdr:row>
      <xdr:rowOff>9525</xdr:rowOff>
    </xdr:from>
    <xdr:to>
      <xdr:col>10</xdr:col>
      <xdr:colOff>327025</xdr:colOff>
      <xdr:row>34</xdr:row>
      <xdr:rowOff>174625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30D7CC6-F445-408F-802D-7260B48FA1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C10:D34" headerRowCount="0" totalsRowShown="0">
  <tableColumns count="2">
    <tableColumn id="1" name="Column1" dataDxfId="0"/>
    <tableColumn id="2" name="Column2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4:D34"/>
  <sheetViews>
    <sheetView tabSelected="1" topLeftCell="A3" workbookViewId="0">
      <selection activeCell="C10" sqref="C10:D10"/>
    </sheetView>
  </sheetViews>
  <sheetFormatPr defaultRowHeight="14.5" x14ac:dyDescent="0.35"/>
  <cols>
    <col min="3" max="3" width="10.7265625" customWidth="1"/>
    <col min="4" max="4" width="60.26953125" customWidth="1"/>
  </cols>
  <sheetData>
    <row r="4" spans="3:4" x14ac:dyDescent="0.35">
      <c r="C4" s="5"/>
    </row>
    <row r="5" spans="3:4" x14ac:dyDescent="0.35">
      <c r="C5" s="5"/>
    </row>
    <row r="6" spans="3:4" x14ac:dyDescent="0.35">
      <c r="C6" s="5"/>
    </row>
    <row r="7" spans="3:4" x14ac:dyDescent="0.35">
      <c r="C7" s="5"/>
    </row>
    <row r="8" spans="3:4" x14ac:dyDescent="0.35">
      <c r="C8" s="5"/>
    </row>
    <row r="10" spans="3:4" x14ac:dyDescent="0.35">
      <c r="C10" s="6"/>
      <c r="D10" s="6" t="s">
        <v>260</v>
      </c>
    </row>
    <row r="11" spans="3:4" x14ac:dyDescent="0.35">
      <c r="C11" s="5" t="s">
        <v>216</v>
      </c>
      <c r="D11" t="s">
        <v>240</v>
      </c>
    </row>
    <row r="12" spans="3:4" x14ac:dyDescent="0.35">
      <c r="C12" s="5" t="s">
        <v>217</v>
      </c>
      <c r="D12" t="s">
        <v>241</v>
      </c>
    </row>
    <row r="13" spans="3:4" x14ac:dyDescent="0.35">
      <c r="C13" s="5" t="s">
        <v>218</v>
      </c>
      <c r="D13" t="s">
        <v>242</v>
      </c>
    </row>
    <row r="14" spans="3:4" x14ac:dyDescent="0.35">
      <c r="C14" s="5" t="s">
        <v>219</v>
      </c>
      <c r="D14" t="s">
        <v>243</v>
      </c>
    </row>
    <row r="15" spans="3:4" x14ac:dyDescent="0.35">
      <c r="C15" s="5" t="s">
        <v>220</v>
      </c>
      <c r="D15" t="s">
        <v>244</v>
      </c>
    </row>
    <row r="16" spans="3:4" x14ac:dyDescent="0.35">
      <c r="C16" s="5" t="s">
        <v>221</v>
      </c>
      <c r="D16" t="s">
        <v>240</v>
      </c>
    </row>
    <row r="17" spans="3:4" x14ac:dyDescent="0.35">
      <c r="C17" s="5" t="s">
        <v>222</v>
      </c>
      <c r="D17" t="s">
        <v>240</v>
      </c>
    </row>
    <row r="18" spans="3:4" x14ac:dyDescent="0.35">
      <c r="C18" s="5" t="s">
        <v>223</v>
      </c>
      <c r="D18" t="s">
        <v>245</v>
      </c>
    </row>
    <row r="19" spans="3:4" x14ac:dyDescent="0.35">
      <c r="C19" s="5" t="s">
        <v>224</v>
      </c>
      <c r="D19" t="s">
        <v>246</v>
      </c>
    </row>
    <row r="20" spans="3:4" x14ac:dyDescent="0.35">
      <c r="C20" s="5" t="s">
        <v>225</v>
      </c>
      <c r="D20" t="s">
        <v>247</v>
      </c>
    </row>
    <row r="21" spans="3:4" x14ac:dyDescent="0.35">
      <c r="C21" s="5" t="s">
        <v>226</v>
      </c>
      <c r="D21" t="s">
        <v>248</v>
      </c>
    </row>
    <row r="22" spans="3:4" x14ac:dyDescent="0.35">
      <c r="C22" s="5" t="s">
        <v>227</v>
      </c>
      <c r="D22" t="s">
        <v>240</v>
      </c>
    </row>
    <row r="23" spans="3:4" x14ac:dyDescent="0.35">
      <c r="C23" s="5" t="s">
        <v>228</v>
      </c>
      <c r="D23" t="s">
        <v>249</v>
      </c>
    </row>
    <row r="24" spans="3:4" x14ac:dyDescent="0.35">
      <c r="C24" s="5" t="s">
        <v>229</v>
      </c>
      <c r="D24" t="s">
        <v>250</v>
      </c>
    </row>
    <row r="25" spans="3:4" x14ac:dyDescent="0.35">
      <c r="C25" s="5" t="s">
        <v>230</v>
      </c>
      <c r="D25" t="s">
        <v>251</v>
      </c>
    </row>
    <row r="26" spans="3:4" x14ac:dyDescent="0.35">
      <c r="C26" s="5" t="s">
        <v>231</v>
      </c>
      <c r="D26" t="s">
        <v>252</v>
      </c>
    </row>
    <row r="27" spans="3:4" x14ac:dyDescent="0.35">
      <c r="C27" s="5" t="s">
        <v>232</v>
      </c>
      <c r="D27" t="s">
        <v>251</v>
      </c>
    </row>
    <row r="28" spans="3:4" x14ac:dyDescent="0.35">
      <c r="C28" s="5" t="s">
        <v>233</v>
      </c>
      <c r="D28" t="s">
        <v>253</v>
      </c>
    </row>
    <row r="29" spans="3:4" x14ac:dyDescent="0.35">
      <c r="C29" s="5" t="s">
        <v>234</v>
      </c>
      <c r="D29" t="s">
        <v>254</v>
      </c>
    </row>
    <row r="30" spans="3:4" x14ac:dyDescent="0.35">
      <c r="C30" s="5" t="s">
        <v>235</v>
      </c>
      <c r="D30" t="s">
        <v>255</v>
      </c>
    </row>
    <row r="31" spans="3:4" x14ac:dyDescent="0.35">
      <c r="C31" s="5" t="s">
        <v>236</v>
      </c>
      <c r="D31" t="s">
        <v>256</v>
      </c>
    </row>
    <row r="32" spans="3:4" x14ac:dyDescent="0.35">
      <c r="C32" s="5" t="s">
        <v>237</v>
      </c>
      <c r="D32" t="s">
        <v>257</v>
      </c>
    </row>
    <row r="33" spans="3:4" x14ac:dyDescent="0.35">
      <c r="C33" s="5" t="s">
        <v>238</v>
      </c>
      <c r="D33" t="s">
        <v>258</v>
      </c>
    </row>
    <row r="34" spans="3:4" x14ac:dyDescent="0.35">
      <c r="C34" s="5" t="s">
        <v>239</v>
      </c>
      <c r="D34" t="s">
        <v>259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AE202"/>
  <sheetViews>
    <sheetView topLeftCell="S1" workbookViewId="0">
      <selection activeCell="AC1" sqref="AA1:AC1048576"/>
    </sheetView>
  </sheetViews>
  <sheetFormatPr defaultRowHeight="14.5" x14ac:dyDescent="0.35"/>
  <cols>
    <col min="4" max="4" width="14.90625" customWidth="1"/>
    <col min="11" max="11" width="15.453125" customWidth="1"/>
    <col min="13" max="13" width="16.1796875" customWidth="1"/>
    <col min="15" max="15" width="18" customWidth="1"/>
    <col min="17" max="17" width="16.08984375" customWidth="1"/>
    <col min="18" max="18" width="14.453125" customWidth="1"/>
    <col min="22" max="22" width="17.81640625" customWidth="1"/>
    <col min="25" max="25" width="10.08984375" customWidth="1"/>
    <col min="27" max="29" width="0" hidden="1" customWidth="1"/>
    <col min="31" max="31" width="10.81640625" style="3" bestFit="1" customWidth="1"/>
  </cols>
  <sheetData>
    <row r="2" spans="3:31" x14ac:dyDescent="0.35">
      <c r="K2" t="s">
        <v>200</v>
      </c>
      <c r="L2">
        <f>AVERAGE(L53:L55)</f>
        <v>2.0150000000000001</v>
      </c>
      <c r="O2" t="s">
        <v>201</v>
      </c>
      <c r="P2">
        <f>AVERAGE(P53:P55)</f>
        <v>1.0303333333333333</v>
      </c>
      <c r="AA2" s="1" t="s">
        <v>207</v>
      </c>
    </row>
    <row r="3" spans="3:31" x14ac:dyDescent="0.35">
      <c r="C3">
        <v>1</v>
      </c>
      <c r="D3" t="s">
        <v>0</v>
      </c>
      <c r="E3">
        <v>2.3340000000000001</v>
      </c>
      <c r="AE3" s="4" t="s">
        <v>214</v>
      </c>
    </row>
    <row r="4" spans="3:31" s="2" customFormat="1" ht="43.5" x14ac:dyDescent="0.35">
      <c r="C4" s="2">
        <v>2</v>
      </c>
      <c r="D4" s="2" t="s">
        <v>1</v>
      </c>
      <c r="E4" s="2">
        <v>4.1130000000000004</v>
      </c>
      <c r="Y4" s="2" t="s">
        <v>209</v>
      </c>
      <c r="Z4" s="2" t="s">
        <v>210</v>
      </c>
      <c r="AA4" s="2" t="s">
        <v>211</v>
      </c>
      <c r="AB4" s="2" t="s">
        <v>212</v>
      </c>
      <c r="AC4" s="2" t="s">
        <v>213</v>
      </c>
      <c r="AE4" s="4" t="s">
        <v>215</v>
      </c>
    </row>
    <row r="5" spans="3:31" x14ac:dyDescent="0.35">
      <c r="C5">
        <v>3</v>
      </c>
      <c r="D5" t="s">
        <v>2</v>
      </c>
      <c r="E5">
        <v>4.84</v>
      </c>
      <c r="L5" t="s">
        <v>202</v>
      </c>
      <c r="M5" t="s">
        <v>203</v>
      </c>
      <c r="Q5" t="s">
        <v>203</v>
      </c>
      <c r="R5" t="s">
        <v>204</v>
      </c>
      <c r="S5" t="s">
        <v>205</v>
      </c>
      <c r="T5" t="s">
        <v>206</v>
      </c>
      <c r="V5" t="s">
        <v>62</v>
      </c>
      <c r="W5">
        <v>2.121</v>
      </c>
      <c r="X5">
        <v>1.0906666666666667</v>
      </c>
      <c r="Y5">
        <v>51.936507936508164</v>
      </c>
      <c r="Z5">
        <v>0</v>
      </c>
      <c r="AA5">
        <v>10.201912614859271</v>
      </c>
      <c r="AB5">
        <f>2.9157*AA5^2-35.296*AA5+108.56</f>
        <v>51.936493879198167</v>
      </c>
      <c r="AC5">
        <f>AB5-Y5</f>
        <v>-1.405730999692878E-5</v>
      </c>
      <c r="AE5" s="3">
        <f>-LOG(0.000004108*Y5^(-2.394))</f>
        <v>9.4932113179111788</v>
      </c>
    </row>
    <row r="6" spans="3:31" x14ac:dyDescent="0.35">
      <c r="C6">
        <v>4</v>
      </c>
      <c r="D6" t="s">
        <v>3</v>
      </c>
      <c r="E6">
        <v>153.59700000000001</v>
      </c>
      <c r="J6">
        <v>2</v>
      </c>
      <c r="K6" t="s">
        <v>1</v>
      </c>
      <c r="L6">
        <v>4.1130000000000004</v>
      </c>
      <c r="M6">
        <f>L6-L$2</f>
        <v>2.0980000000000003</v>
      </c>
      <c r="N6">
        <v>3</v>
      </c>
      <c r="O6" t="s">
        <v>2</v>
      </c>
      <c r="P6">
        <v>4.84</v>
      </c>
      <c r="Q6">
        <f>P6-P$2</f>
        <v>3.8096666666666668</v>
      </c>
      <c r="R6">
        <f>Q6/M6</f>
        <v>1.8158563711471241</v>
      </c>
      <c r="V6" t="s">
        <v>66</v>
      </c>
      <c r="W6">
        <v>2.169</v>
      </c>
      <c r="X6">
        <v>1.1386666666666667</v>
      </c>
      <c r="Y6">
        <v>49.507246376812269</v>
      </c>
      <c r="Z6">
        <v>5</v>
      </c>
      <c r="AA6">
        <v>2.0052317624977887</v>
      </c>
      <c r="AB6">
        <f t="shared" ref="AB6:AB36" si="0">2.9157*AA6^2-35.296*AA6+108.56</f>
        <v>49.507236517149899</v>
      </c>
      <c r="AC6">
        <f t="shared" ref="AC6:AC36" si="1">AB6-Y6</f>
        <v>-9.8596623701041608E-6</v>
      </c>
      <c r="AE6" s="3">
        <f t="shared" ref="AE6:AE36" si="2">-LOG(0.000004108*Y6^(-2.394))</f>
        <v>9.4434066035184046</v>
      </c>
    </row>
    <row r="7" spans="3:31" x14ac:dyDescent="0.35">
      <c r="C7">
        <v>5</v>
      </c>
      <c r="D7" t="s">
        <v>4</v>
      </c>
      <c r="E7">
        <v>2.3540000000000001</v>
      </c>
      <c r="J7">
        <v>6</v>
      </c>
      <c r="K7" t="s">
        <v>5</v>
      </c>
      <c r="L7">
        <v>4.0960000000000001</v>
      </c>
      <c r="M7">
        <f t="shared" ref="M7:M52" si="3">L7-L$2</f>
        <v>2.081</v>
      </c>
      <c r="N7">
        <v>7</v>
      </c>
      <c r="O7" t="s">
        <v>6</v>
      </c>
      <c r="P7">
        <v>4.8609999999999998</v>
      </c>
      <c r="Q7">
        <f t="shared" ref="Q7:Q52" si="4">P7-P$2</f>
        <v>3.8306666666666667</v>
      </c>
      <c r="R7">
        <f t="shared" ref="R7:R52" si="5">Q7/M7</f>
        <v>1.8407816754765338</v>
      </c>
      <c r="V7" t="s">
        <v>70</v>
      </c>
      <c r="W7">
        <v>2.2090000000000001</v>
      </c>
      <c r="X7">
        <v>1.1786666666666668</v>
      </c>
      <c r="Y7">
        <v>43.65432098765482</v>
      </c>
      <c r="Z7">
        <v>10</v>
      </c>
      <c r="AA7">
        <v>2.2613097775067672</v>
      </c>
      <c r="AB7">
        <f t="shared" si="0"/>
        <v>43.654305925664104</v>
      </c>
      <c r="AC7">
        <f t="shared" si="1"/>
        <v>-1.5061990715992124E-5</v>
      </c>
      <c r="AE7" s="3">
        <f t="shared" si="2"/>
        <v>9.3125947715597235</v>
      </c>
    </row>
    <row r="8" spans="3:31" x14ac:dyDescent="0.35">
      <c r="C8">
        <v>6</v>
      </c>
      <c r="D8" t="s">
        <v>5</v>
      </c>
      <c r="E8">
        <v>4.0960000000000001</v>
      </c>
      <c r="J8">
        <v>10</v>
      </c>
      <c r="K8" t="s">
        <v>9</v>
      </c>
      <c r="L8">
        <v>4.085</v>
      </c>
      <c r="M8">
        <f t="shared" si="3"/>
        <v>2.0699999999999998</v>
      </c>
      <c r="N8">
        <v>11</v>
      </c>
      <c r="O8" t="s">
        <v>10</v>
      </c>
      <c r="P8">
        <v>4.8120000000000003</v>
      </c>
      <c r="Q8">
        <f t="shared" si="4"/>
        <v>3.7816666666666672</v>
      </c>
      <c r="R8">
        <f t="shared" si="5"/>
        <v>1.8268921095008055</v>
      </c>
      <c r="S8">
        <f>AVERAGE(R6:R8)</f>
        <v>1.8278433853748213</v>
      </c>
      <c r="T8">
        <v>5.83</v>
      </c>
      <c r="V8" t="s">
        <v>74</v>
      </c>
      <c r="W8">
        <v>2.2930000000000001</v>
      </c>
      <c r="X8">
        <v>1.2626666666666668</v>
      </c>
      <c r="Y8">
        <v>37.137254901961001</v>
      </c>
      <c r="Z8">
        <v>15</v>
      </c>
      <c r="AA8">
        <v>2.5685209092854442</v>
      </c>
      <c r="AB8">
        <f t="shared" si="0"/>
        <v>37.137232608711457</v>
      </c>
      <c r="AC8">
        <f t="shared" si="1"/>
        <v>-2.229324954328149E-5</v>
      </c>
      <c r="AE8" s="3">
        <f t="shared" si="2"/>
        <v>9.1444942228497137</v>
      </c>
    </row>
    <row r="9" spans="3:31" x14ac:dyDescent="0.35">
      <c r="C9">
        <v>7</v>
      </c>
      <c r="D9" t="s">
        <v>6</v>
      </c>
      <c r="E9">
        <v>4.8609999999999998</v>
      </c>
      <c r="J9">
        <v>14</v>
      </c>
      <c r="K9" t="s">
        <v>13</v>
      </c>
      <c r="L9">
        <v>4.1900000000000004</v>
      </c>
      <c r="M9">
        <f t="shared" si="3"/>
        <v>2.1750000000000003</v>
      </c>
      <c r="N9">
        <v>15</v>
      </c>
      <c r="O9" t="s">
        <v>14</v>
      </c>
      <c r="P9">
        <v>6.0570000000000004</v>
      </c>
      <c r="Q9">
        <f t="shared" si="4"/>
        <v>5.0266666666666673</v>
      </c>
      <c r="R9">
        <f t="shared" si="5"/>
        <v>2.3111111111111109</v>
      </c>
      <c r="V9" t="s">
        <v>78</v>
      </c>
      <c r="W9">
        <v>2.379</v>
      </c>
      <c r="X9">
        <v>1.3486666666666667</v>
      </c>
      <c r="Y9">
        <v>32.111111111111249</v>
      </c>
      <c r="Z9">
        <v>20</v>
      </c>
      <c r="AA9">
        <v>2.8253629524378008</v>
      </c>
      <c r="AB9">
        <f t="shared" si="0"/>
        <v>32.111077098742953</v>
      </c>
      <c r="AC9">
        <f t="shared" si="1"/>
        <v>-3.4012368296032491E-5</v>
      </c>
      <c r="AE9" s="3">
        <f t="shared" si="2"/>
        <v>8.993302433036197</v>
      </c>
    </row>
    <row r="10" spans="3:31" x14ac:dyDescent="0.35">
      <c r="C10">
        <v>8</v>
      </c>
      <c r="D10" t="s">
        <v>7</v>
      </c>
      <c r="E10">
        <v>153.96299999999999</v>
      </c>
      <c r="J10">
        <v>18</v>
      </c>
      <c r="K10" t="s">
        <v>17</v>
      </c>
      <c r="L10">
        <v>4.1790000000000003</v>
      </c>
      <c r="M10">
        <f t="shared" si="3"/>
        <v>2.1640000000000001</v>
      </c>
      <c r="N10">
        <v>19</v>
      </c>
      <c r="O10" t="s">
        <v>18</v>
      </c>
      <c r="P10">
        <v>6.056</v>
      </c>
      <c r="Q10">
        <f t="shared" si="4"/>
        <v>5.0256666666666669</v>
      </c>
      <c r="R10">
        <f t="shared" si="5"/>
        <v>2.3223967960566849</v>
      </c>
      <c r="V10" t="s">
        <v>82</v>
      </c>
      <c r="W10">
        <v>2.4510000000000001</v>
      </c>
      <c r="X10">
        <v>1.4206666666666667</v>
      </c>
      <c r="Y10">
        <v>27.856209150326958</v>
      </c>
      <c r="Z10">
        <v>25</v>
      </c>
      <c r="AA10">
        <v>3.0599728496906775</v>
      </c>
      <c r="AB10">
        <f t="shared" si="0"/>
        <v>27.856162347066942</v>
      </c>
      <c r="AC10">
        <f t="shared" si="1"/>
        <v>-4.6803260016048398E-5</v>
      </c>
      <c r="AE10" s="3">
        <f t="shared" si="2"/>
        <v>8.8455128679328041</v>
      </c>
    </row>
    <row r="11" spans="3:31" x14ac:dyDescent="0.35">
      <c r="C11">
        <v>9</v>
      </c>
      <c r="D11" t="s">
        <v>8</v>
      </c>
      <c r="E11">
        <v>2.3439999999999999</v>
      </c>
      <c r="J11">
        <v>22</v>
      </c>
      <c r="K11" t="s">
        <v>21</v>
      </c>
      <c r="L11">
        <v>4.202</v>
      </c>
      <c r="M11">
        <f t="shared" si="3"/>
        <v>2.1869999999999998</v>
      </c>
      <c r="N11">
        <v>23</v>
      </c>
      <c r="O11" t="s">
        <v>22</v>
      </c>
      <c r="P11">
        <v>6.06</v>
      </c>
      <c r="Q11">
        <f t="shared" si="4"/>
        <v>5.0296666666666665</v>
      </c>
      <c r="R11">
        <f t="shared" si="5"/>
        <v>2.2998018594726415</v>
      </c>
      <c r="S11">
        <f>AVERAGE(R9:R11)</f>
        <v>2.3111032555468127</v>
      </c>
      <c r="T11">
        <v>6.45</v>
      </c>
      <c r="V11" t="s">
        <v>86</v>
      </c>
      <c r="W11">
        <v>2.56</v>
      </c>
      <c r="X11">
        <v>1.5296666666666667</v>
      </c>
      <c r="Y11">
        <v>24.672043010752756</v>
      </c>
      <c r="Z11">
        <v>30</v>
      </c>
      <c r="AA11">
        <v>3.2483546011478044</v>
      </c>
      <c r="AB11">
        <f t="shared" si="0"/>
        <v>24.671981460353948</v>
      </c>
      <c r="AC11">
        <f t="shared" si="1"/>
        <v>-6.1550398807952433E-5</v>
      </c>
      <c r="AE11" s="3">
        <f t="shared" si="2"/>
        <v>8.7193086067380854</v>
      </c>
    </row>
    <row r="12" spans="3:31" x14ac:dyDescent="0.35">
      <c r="C12">
        <v>10</v>
      </c>
      <c r="D12" t="s">
        <v>9</v>
      </c>
      <c r="E12">
        <v>4.085</v>
      </c>
      <c r="J12">
        <v>26</v>
      </c>
      <c r="K12" t="s">
        <v>25</v>
      </c>
      <c r="L12">
        <v>3.0720000000000001</v>
      </c>
      <c r="M12">
        <f t="shared" si="3"/>
        <v>1.0569999999999999</v>
      </c>
      <c r="N12">
        <v>27</v>
      </c>
      <c r="O12" t="s">
        <v>26</v>
      </c>
      <c r="P12">
        <v>6.5449999999999999</v>
      </c>
      <c r="Q12">
        <f t="shared" si="4"/>
        <v>5.5146666666666668</v>
      </c>
      <c r="R12">
        <f t="shared" si="5"/>
        <v>5.2172816146326086</v>
      </c>
      <c r="V12" t="s">
        <v>90</v>
      </c>
      <c r="W12">
        <v>2.7429999999999999</v>
      </c>
      <c r="X12">
        <v>1.7126666666666666</v>
      </c>
      <c r="Y12">
        <v>21.679324894514838</v>
      </c>
      <c r="Z12">
        <v>35</v>
      </c>
      <c r="AA12">
        <v>3.4377522589786462</v>
      </c>
      <c r="AB12">
        <f t="shared" si="0"/>
        <v>21.679248797344357</v>
      </c>
      <c r="AC12">
        <f t="shared" si="1"/>
        <v>-7.6097170481403964E-5</v>
      </c>
      <c r="AE12" s="3">
        <f t="shared" si="2"/>
        <v>8.5848630999597777</v>
      </c>
    </row>
    <row r="13" spans="3:31" x14ac:dyDescent="0.35">
      <c r="C13">
        <v>11</v>
      </c>
      <c r="D13" t="s">
        <v>10</v>
      </c>
      <c r="E13">
        <v>4.8120000000000003</v>
      </c>
      <c r="J13">
        <v>30</v>
      </c>
      <c r="K13" t="s">
        <v>29</v>
      </c>
      <c r="L13">
        <v>3.081</v>
      </c>
      <c r="M13">
        <f t="shared" si="3"/>
        <v>1.0659999999999998</v>
      </c>
      <c r="N13">
        <v>31</v>
      </c>
      <c r="O13" t="s">
        <v>30</v>
      </c>
      <c r="P13">
        <v>6.5110000000000001</v>
      </c>
      <c r="Q13">
        <f t="shared" si="4"/>
        <v>5.480666666666667</v>
      </c>
      <c r="R13">
        <f t="shared" si="5"/>
        <v>5.1413383364602891</v>
      </c>
      <c r="V13" t="s">
        <v>94</v>
      </c>
      <c r="W13">
        <v>2.9009999999999998</v>
      </c>
      <c r="X13">
        <v>1.8706666666666665</v>
      </c>
      <c r="Y13">
        <v>19.486111111111093</v>
      </c>
      <c r="Z13">
        <v>40</v>
      </c>
      <c r="AA13">
        <v>3.5857680925157434</v>
      </c>
      <c r="AB13">
        <f t="shared" si="0"/>
        <v>19.486020970314783</v>
      </c>
      <c r="AC13">
        <f t="shared" si="1"/>
        <v>-9.014079630986771E-5</v>
      </c>
      <c r="AE13" s="3">
        <f t="shared" si="2"/>
        <v>8.4739716330601951</v>
      </c>
    </row>
    <row r="14" spans="3:31" x14ac:dyDescent="0.35">
      <c r="C14">
        <v>12</v>
      </c>
      <c r="D14" t="s">
        <v>11</v>
      </c>
      <c r="E14">
        <v>153.80600000000001</v>
      </c>
      <c r="J14">
        <v>34</v>
      </c>
      <c r="K14" t="s">
        <v>33</v>
      </c>
      <c r="L14">
        <v>3.0739999999999998</v>
      </c>
      <c r="M14">
        <f t="shared" si="3"/>
        <v>1.0589999999999997</v>
      </c>
      <c r="N14">
        <v>35</v>
      </c>
      <c r="O14" t="s">
        <v>34</v>
      </c>
      <c r="P14">
        <v>6.5270000000000001</v>
      </c>
      <c r="Q14">
        <f t="shared" si="4"/>
        <v>5.496666666666667</v>
      </c>
      <c r="R14">
        <f t="shared" si="5"/>
        <v>5.1904312244255602</v>
      </c>
      <c r="S14">
        <f>AVERAGE(R12:R14)</f>
        <v>5.1830170585061524</v>
      </c>
      <c r="T14">
        <v>7.13</v>
      </c>
      <c r="V14" t="s">
        <v>98</v>
      </c>
      <c r="W14">
        <v>3.1280000000000001</v>
      </c>
      <c r="X14">
        <v>2.097666666666667</v>
      </c>
      <c r="Y14">
        <v>17.928774928774931</v>
      </c>
      <c r="Z14">
        <v>45</v>
      </c>
      <c r="AA14">
        <v>3.6965083431828467</v>
      </c>
      <c r="AB14">
        <f t="shared" si="0"/>
        <v>17.928673450277557</v>
      </c>
      <c r="AC14">
        <f t="shared" si="1"/>
        <v>-1.0147849737407455E-4</v>
      </c>
      <c r="AE14" s="3">
        <f t="shared" si="2"/>
        <v>8.3873697380590571</v>
      </c>
    </row>
    <row r="15" spans="3:31" x14ac:dyDescent="0.35">
      <c r="C15">
        <v>13</v>
      </c>
      <c r="D15" t="s">
        <v>12</v>
      </c>
      <c r="E15">
        <v>2.2690000000000001</v>
      </c>
      <c r="J15">
        <v>38</v>
      </c>
      <c r="K15" t="s">
        <v>37</v>
      </c>
      <c r="L15">
        <v>2.69</v>
      </c>
      <c r="M15">
        <f t="shared" si="3"/>
        <v>0.67499999999999982</v>
      </c>
      <c r="N15">
        <v>39</v>
      </c>
      <c r="O15" t="s">
        <v>38</v>
      </c>
      <c r="P15">
        <v>6.7409999999999997</v>
      </c>
      <c r="Q15">
        <f t="shared" si="4"/>
        <v>5.7106666666666666</v>
      </c>
      <c r="R15">
        <f t="shared" si="5"/>
        <v>8.4602469135802494</v>
      </c>
      <c r="V15" t="s">
        <v>102</v>
      </c>
      <c r="W15">
        <v>3.4169999999999998</v>
      </c>
      <c r="X15">
        <v>2.3866666666666667</v>
      </c>
      <c r="Y15">
        <v>16.459770114942526</v>
      </c>
      <c r="Z15">
        <v>50</v>
      </c>
      <c r="AA15">
        <v>3.8059647869494655</v>
      </c>
      <c r="AB15">
        <f t="shared" si="0"/>
        <v>16.459654239343735</v>
      </c>
      <c r="AC15">
        <f t="shared" si="1"/>
        <v>-1.1587559879089326E-4</v>
      </c>
      <c r="AE15" s="3">
        <f t="shared" si="2"/>
        <v>8.2984880593303636</v>
      </c>
    </row>
    <row r="16" spans="3:31" x14ac:dyDescent="0.35">
      <c r="C16">
        <v>14</v>
      </c>
      <c r="D16" t="s">
        <v>13</v>
      </c>
      <c r="E16">
        <v>4.1900000000000004</v>
      </c>
      <c r="J16">
        <v>42</v>
      </c>
      <c r="K16" t="s">
        <v>41</v>
      </c>
      <c r="L16">
        <v>2.6930000000000001</v>
      </c>
      <c r="M16">
        <f t="shared" si="3"/>
        <v>0.67799999999999994</v>
      </c>
      <c r="N16">
        <v>43</v>
      </c>
      <c r="O16" t="s">
        <v>42</v>
      </c>
      <c r="P16">
        <v>6.7590000000000003</v>
      </c>
      <c r="Q16">
        <f t="shared" si="4"/>
        <v>5.7286666666666672</v>
      </c>
      <c r="R16">
        <f t="shared" si="5"/>
        <v>8.4493608652900711</v>
      </c>
      <c r="V16" t="s">
        <v>106</v>
      </c>
      <c r="W16">
        <v>3.77</v>
      </c>
      <c r="X16">
        <v>2.7396666666666665</v>
      </c>
      <c r="Y16">
        <v>15.13627992633517</v>
      </c>
      <c r="Z16">
        <v>55</v>
      </c>
      <c r="AA16">
        <v>3.9093603583523451</v>
      </c>
      <c r="AB16">
        <f t="shared" si="0"/>
        <v>15.136146829880161</v>
      </c>
      <c r="AC16">
        <f t="shared" si="1"/>
        <v>-1.3309645500925171E-4</v>
      </c>
      <c r="AE16" s="3">
        <f t="shared" si="2"/>
        <v>8.2113354122303104</v>
      </c>
    </row>
    <row r="17" spans="3:31" x14ac:dyDescent="0.35">
      <c r="C17">
        <v>15</v>
      </c>
      <c r="D17" t="s">
        <v>14</v>
      </c>
      <c r="E17">
        <v>6.0570000000000004</v>
      </c>
      <c r="J17">
        <v>46</v>
      </c>
      <c r="K17" t="s">
        <v>45</v>
      </c>
      <c r="L17">
        <v>2.7</v>
      </c>
      <c r="M17">
        <f t="shared" si="3"/>
        <v>0.68500000000000005</v>
      </c>
      <c r="N17">
        <v>47</v>
      </c>
      <c r="O17" t="s">
        <v>46</v>
      </c>
      <c r="P17">
        <v>6.7850000000000001</v>
      </c>
      <c r="Q17">
        <f t="shared" si="4"/>
        <v>5.754666666666667</v>
      </c>
      <c r="R17">
        <f t="shared" si="5"/>
        <v>8.4009732360097331</v>
      </c>
      <c r="S17">
        <f>AVERAGE(R15:R17)</f>
        <v>8.4368603382933518</v>
      </c>
      <c r="T17">
        <v>7.59</v>
      </c>
      <c r="V17" t="s">
        <v>110</v>
      </c>
      <c r="W17">
        <v>4.2279999999999998</v>
      </c>
      <c r="X17">
        <v>3.1976666666666667</v>
      </c>
      <c r="Y17">
        <v>14.275297619047635</v>
      </c>
      <c r="Z17">
        <v>60</v>
      </c>
      <c r="AA17">
        <v>8.1261183964251327</v>
      </c>
      <c r="AB17">
        <f t="shared" si="0"/>
        <v>14.275276301689246</v>
      </c>
      <c r="AC17">
        <f t="shared" si="1"/>
        <v>-2.131735838872828E-5</v>
      </c>
      <c r="AE17" s="3">
        <f t="shared" si="2"/>
        <v>8.1504464654450199</v>
      </c>
    </row>
    <row r="18" spans="3:31" x14ac:dyDescent="0.35">
      <c r="C18">
        <v>16</v>
      </c>
      <c r="D18" t="s">
        <v>15</v>
      </c>
      <c r="E18">
        <v>157.62799999999999</v>
      </c>
      <c r="J18">
        <v>50</v>
      </c>
      <c r="K18" t="s">
        <v>49</v>
      </c>
      <c r="L18">
        <v>2.4039999999999999</v>
      </c>
      <c r="M18">
        <f t="shared" si="3"/>
        <v>0.38899999999999979</v>
      </c>
      <c r="N18">
        <v>51</v>
      </c>
      <c r="O18" t="s">
        <v>50</v>
      </c>
      <c r="P18">
        <v>6.7770000000000001</v>
      </c>
      <c r="Q18">
        <f t="shared" si="4"/>
        <v>5.746666666666667</v>
      </c>
      <c r="R18">
        <f t="shared" si="5"/>
        <v>14.772922022279358</v>
      </c>
      <c r="V18" t="s">
        <v>114</v>
      </c>
      <c r="W18">
        <v>4.9089999999999998</v>
      </c>
      <c r="X18">
        <v>3.8786666666666667</v>
      </c>
      <c r="Y18">
        <v>12.97212931995541</v>
      </c>
      <c r="Z18">
        <v>65</v>
      </c>
      <c r="AA18">
        <v>8.0153777569827156</v>
      </c>
      <c r="AB18">
        <f t="shared" si="0"/>
        <v>12.972106997442552</v>
      </c>
      <c r="AC18">
        <f t="shared" si="1"/>
        <v>-2.2322512858607979E-5</v>
      </c>
      <c r="AE18" s="3">
        <f t="shared" si="2"/>
        <v>8.0509185443318056</v>
      </c>
    </row>
    <row r="19" spans="3:31" x14ac:dyDescent="0.35">
      <c r="C19">
        <v>17</v>
      </c>
      <c r="D19" t="s">
        <v>16</v>
      </c>
      <c r="E19">
        <v>2.2650000000000001</v>
      </c>
      <c r="J19">
        <v>54</v>
      </c>
      <c r="K19" t="s">
        <v>53</v>
      </c>
      <c r="L19">
        <v>2.4079999999999999</v>
      </c>
      <c r="M19">
        <f t="shared" si="3"/>
        <v>0.39299999999999979</v>
      </c>
      <c r="N19">
        <v>55</v>
      </c>
      <c r="O19" t="s">
        <v>54</v>
      </c>
      <c r="P19">
        <v>6.7240000000000002</v>
      </c>
      <c r="Q19">
        <f t="shared" si="4"/>
        <v>5.6936666666666671</v>
      </c>
      <c r="R19">
        <f t="shared" si="5"/>
        <v>14.487701441899924</v>
      </c>
      <c r="V19" t="s">
        <v>118</v>
      </c>
      <c r="W19">
        <v>5.9640000000000004</v>
      </c>
      <c r="X19">
        <v>4.9336666666666673</v>
      </c>
      <c r="Y19">
        <v>12.427371956339218</v>
      </c>
      <c r="Z19">
        <v>70</v>
      </c>
      <c r="AA19">
        <v>4.1383238880036846</v>
      </c>
      <c r="AB19">
        <f t="shared" si="0"/>
        <v>12.427195271137322</v>
      </c>
      <c r="AC19">
        <f t="shared" si="1"/>
        <v>-1.7668520189673131E-4</v>
      </c>
      <c r="AE19" s="3">
        <f t="shared" si="2"/>
        <v>8.006313602434183</v>
      </c>
    </row>
    <row r="20" spans="3:31" x14ac:dyDescent="0.35">
      <c r="C20">
        <v>18</v>
      </c>
      <c r="D20" t="s">
        <v>17</v>
      </c>
      <c r="E20">
        <v>4.1790000000000003</v>
      </c>
      <c r="J20">
        <v>58</v>
      </c>
      <c r="K20" t="s">
        <v>57</v>
      </c>
      <c r="L20">
        <v>2.4039999999999999</v>
      </c>
      <c r="M20">
        <f t="shared" si="3"/>
        <v>0.38899999999999979</v>
      </c>
      <c r="N20">
        <v>59</v>
      </c>
      <c r="O20" t="s">
        <v>58</v>
      </c>
      <c r="P20">
        <v>6.7469999999999999</v>
      </c>
      <c r="Q20">
        <f t="shared" si="4"/>
        <v>5.7166666666666668</v>
      </c>
      <c r="R20">
        <f t="shared" si="5"/>
        <v>14.695801199657248</v>
      </c>
      <c r="S20">
        <f>AVERAGE(R18:R20)</f>
        <v>14.652141554612177</v>
      </c>
      <c r="T20">
        <v>8.15</v>
      </c>
      <c r="V20" t="s">
        <v>122</v>
      </c>
      <c r="W20">
        <v>6.9420000000000002</v>
      </c>
      <c r="X20">
        <v>5.9116666666666671</v>
      </c>
      <c r="Y20">
        <v>12.264868603042883</v>
      </c>
      <c r="Z20">
        <v>75</v>
      </c>
      <c r="AA20">
        <v>4.1529362428097949</v>
      </c>
      <c r="AB20">
        <f t="shared" si="0"/>
        <v>12.264688747789023</v>
      </c>
      <c r="AC20">
        <f t="shared" si="1"/>
        <v>-1.798552538598841E-4</v>
      </c>
      <c r="AE20" s="3">
        <f t="shared" si="2"/>
        <v>7.9926285473143421</v>
      </c>
    </row>
    <row r="21" spans="3:31" x14ac:dyDescent="0.35">
      <c r="C21">
        <v>19</v>
      </c>
      <c r="D21" t="s">
        <v>18</v>
      </c>
      <c r="E21">
        <v>6.056</v>
      </c>
      <c r="J21">
        <v>62</v>
      </c>
      <c r="K21" t="s">
        <v>61</v>
      </c>
      <c r="L21">
        <v>2.036</v>
      </c>
      <c r="M21">
        <f t="shared" si="3"/>
        <v>2.0999999999999908E-2</v>
      </c>
      <c r="N21">
        <v>63</v>
      </c>
      <c r="O21" t="s">
        <v>62</v>
      </c>
      <c r="P21">
        <v>2.121</v>
      </c>
      <c r="Q21">
        <f t="shared" si="4"/>
        <v>1.0906666666666667</v>
      </c>
      <c r="R21">
        <f t="shared" si="5"/>
        <v>51.936507936508164</v>
      </c>
      <c r="V21" t="s">
        <v>126</v>
      </c>
      <c r="W21">
        <v>7.4180000000000001</v>
      </c>
      <c r="X21">
        <v>6.387666666666667</v>
      </c>
      <c r="Y21">
        <v>13.009504412763079</v>
      </c>
      <c r="Z21">
        <v>80</v>
      </c>
      <c r="AA21">
        <v>4.0868696441167858</v>
      </c>
      <c r="AB21">
        <f t="shared" si="0"/>
        <v>13.009338461225042</v>
      </c>
      <c r="AC21">
        <f t="shared" si="1"/>
        <v>-1.6595153803677931E-4</v>
      </c>
      <c r="AE21" s="3">
        <f t="shared" si="2"/>
        <v>8.0539098071742625</v>
      </c>
    </row>
    <row r="22" spans="3:31" x14ac:dyDescent="0.35">
      <c r="C22">
        <v>20</v>
      </c>
      <c r="D22" t="s">
        <v>19</v>
      </c>
      <c r="E22">
        <v>157.285</v>
      </c>
      <c r="J22">
        <v>66</v>
      </c>
      <c r="K22" t="s">
        <v>65</v>
      </c>
      <c r="L22">
        <v>2.0379999999999998</v>
      </c>
      <c r="M22">
        <f t="shared" si="3"/>
        <v>2.2999999999999687E-2</v>
      </c>
      <c r="N22">
        <v>67</v>
      </c>
      <c r="O22" t="s">
        <v>66</v>
      </c>
      <c r="P22">
        <v>2.169</v>
      </c>
      <c r="Q22">
        <f t="shared" si="4"/>
        <v>1.1386666666666667</v>
      </c>
      <c r="R22">
        <f t="shared" si="5"/>
        <v>49.507246376812269</v>
      </c>
      <c r="V22" t="s">
        <v>130</v>
      </c>
      <c r="W22">
        <v>7.5380000000000003</v>
      </c>
      <c r="X22">
        <v>6.5076666666666672</v>
      </c>
      <c r="Y22">
        <v>13.614365411436548</v>
      </c>
      <c r="Z22">
        <v>85</v>
      </c>
      <c r="AA22">
        <v>4.034795870642121</v>
      </c>
      <c r="AB22">
        <f t="shared" si="0"/>
        <v>13.614209701461448</v>
      </c>
      <c r="AC22">
        <f t="shared" si="1"/>
        <v>-1.5570997510039319E-4</v>
      </c>
      <c r="AE22" s="3">
        <f t="shared" si="2"/>
        <v>8.10115934773353</v>
      </c>
    </row>
    <row r="23" spans="3:31" x14ac:dyDescent="0.35">
      <c r="C23">
        <v>21</v>
      </c>
      <c r="D23" t="s">
        <v>20</v>
      </c>
      <c r="E23">
        <v>2.2559999999999998</v>
      </c>
      <c r="J23">
        <v>70</v>
      </c>
      <c r="K23" t="s">
        <v>69</v>
      </c>
      <c r="L23">
        <v>2.0419999999999998</v>
      </c>
      <c r="M23">
        <f t="shared" si="3"/>
        <v>2.6999999999999691E-2</v>
      </c>
      <c r="N23">
        <v>71</v>
      </c>
      <c r="O23" t="s">
        <v>70</v>
      </c>
      <c r="P23">
        <v>2.2090000000000001</v>
      </c>
      <c r="Q23">
        <f t="shared" si="4"/>
        <v>1.1786666666666668</v>
      </c>
      <c r="R23">
        <f t="shared" si="5"/>
        <v>43.65432098765482</v>
      </c>
      <c r="V23" t="s">
        <v>134</v>
      </c>
      <c r="W23">
        <v>7.56</v>
      </c>
      <c r="X23">
        <v>6.5296666666666665</v>
      </c>
      <c r="Y23">
        <v>13.863411181882517</v>
      </c>
      <c r="Z23">
        <v>90</v>
      </c>
      <c r="AA23">
        <v>4.0137414884653291</v>
      </c>
      <c r="AB23">
        <f t="shared" si="0"/>
        <v>13.863259453747389</v>
      </c>
      <c r="AC23">
        <f t="shared" si="1"/>
        <v>-1.51728135127982E-4</v>
      </c>
      <c r="AE23" s="3">
        <f t="shared" si="2"/>
        <v>8.1200065949791203</v>
      </c>
    </row>
    <row r="24" spans="3:31" x14ac:dyDescent="0.35">
      <c r="C24">
        <v>22</v>
      </c>
      <c r="D24" t="s">
        <v>21</v>
      </c>
      <c r="E24">
        <v>4.202</v>
      </c>
      <c r="J24">
        <v>74</v>
      </c>
      <c r="K24" t="s">
        <v>73</v>
      </c>
      <c r="L24">
        <v>2.0489999999999999</v>
      </c>
      <c r="M24">
        <f t="shared" si="3"/>
        <v>3.3999999999999808E-2</v>
      </c>
      <c r="N24">
        <v>75</v>
      </c>
      <c r="O24" t="s">
        <v>74</v>
      </c>
      <c r="P24">
        <v>2.2930000000000001</v>
      </c>
      <c r="Q24">
        <f t="shared" si="4"/>
        <v>1.2626666666666668</v>
      </c>
      <c r="R24">
        <f t="shared" si="5"/>
        <v>37.137254901961001</v>
      </c>
      <c r="V24" t="s">
        <v>138</v>
      </c>
      <c r="W24">
        <v>7.5449999999999999</v>
      </c>
      <c r="X24">
        <v>6.5146666666666668</v>
      </c>
      <c r="Y24">
        <v>13.802259887005651</v>
      </c>
      <c r="Z24">
        <v>95</v>
      </c>
      <c r="AA24">
        <v>4.0188910426830953</v>
      </c>
      <c r="AB24">
        <f t="shared" si="0"/>
        <v>13.802107192880328</v>
      </c>
      <c r="AC24">
        <f t="shared" si="1"/>
        <v>-1.5269412532248339E-4</v>
      </c>
      <c r="AE24" s="3">
        <f t="shared" si="2"/>
        <v>8.1154103453390025</v>
      </c>
    </row>
    <row r="25" spans="3:31" x14ac:dyDescent="0.35">
      <c r="C25">
        <v>23</v>
      </c>
      <c r="D25" t="s">
        <v>22</v>
      </c>
      <c r="E25">
        <v>6.06</v>
      </c>
      <c r="J25">
        <v>78</v>
      </c>
      <c r="K25" t="s">
        <v>77</v>
      </c>
      <c r="L25">
        <v>2.0569999999999999</v>
      </c>
      <c r="M25">
        <f t="shared" si="3"/>
        <v>4.1999999999999815E-2</v>
      </c>
      <c r="N25">
        <v>79</v>
      </c>
      <c r="O25" t="s">
        <v>78</v>
      </c>
      <c r="P25">
        <v>2.379</v>
      </c>
      <c r="Q25">
        <f t="shared" si="4"/>
        <v>1.3486666666666667</v>
      </c>
      <c r="R25">
        <f t="shared" si="5"/>
        <v>32.111111111111249</v>
      </c>
      <c r="V25" t="s">
        <v>142</v>
      </c>
      <c r="W25">
        <v>7.5339999999999998</v>
      </c>
      <c r="X25">
        <v>6.5036666666666667</v>
      </c>
      <c r="Y25">
        <v>13.663165266106443</v>
      </c>
      <c r="Z25">
        <v>100</v>
      </c>
      <c r="AA25">
        <v>4.0306530502673068</v>
      </c>
      <c r="AB25">
        <f t="shared" si="0"/>
        <v>13.66301034647222</v>
      </c>
      <c r="AC25">
        <f t="shared" si="1"/>
        <v>-1.5491963422320509E-4</v>
      </c>
      <c r="AE25" s="3">
        <f t="shared" si="2"/>
        <v>8.1048794286987444</v>
      </c>
    </row>
    <row r="26" spans="3:31" x14ac:dyDescent="0.35">
      <c r="C26">
        <v>24</v>
      </c>
      <c r="D26" t="s">
        <v>23</v>
      </c>
      <c r="E26">
        <v>157.642</v>
      </c>
      <c r="J26">
        <v>82</v>
      </c>
      <c r="K26" t="s">
        <v>81</v>
      </c>
      <c r="L26">
        <v>2.0659999999999998</v>
      </c>
      <c r="M26">
        <f t="shared" si="3"/>
        <v>5.0999999999999712E-2</v>
      </c>
      <c r="N26">
        <v>83</v>
      </c>
      <c r="O26" t="s">
        <v>82</v>
      </c>
      <c r="P26">
        <v>2.4510000000000001</v>
      </c>
      <c r="Q26">
        <f t="shared" si="4"/>
        <v>1.4206666666666667</v>
      </c>
      <c r="R26">
        <f t="shared" si="5"/>
        <v>27.856209150326958</v>
      </c>
      <c r="V26" t="s">
        <v>146</v>
      </c>
      <c r="W26">
        <v>7.5010000000000003</v>
      </c>
      <c r="X26">
        <v>6.4706666666666672</v>
      </c>
      <c r="Y26">
        <v>13.651195499296774</v>
      </c>
      <c r="Z26">
        <v>105</v>
      </c>
      <c r="AA26">
        <v>4.0316684269498024</v>
      </c>
      <c r="AB26">
        <f t="shared" si="0"/>
        <v>13.651040386271447</v>
      </c>
      <c r="AC26">
        <f t="shared" si="1"/>
        <v>-1.5511302532722482E-4</v>
      </c>
      <c r="AE26" s="3">
        <f t="shared" si="2"/>
        <v>8.1039681879560632</v>
      </c>
    </row>
    <row r="27" spans="3:31" x14ac:dyDescent="0.35">
      <c r="C27">
        <v>25</v>
      </c>
      <c r="D27" t="s">
        <v>24</v>
      </c>
      <c r="E27">
        <v>2.29</v>
      </c>
      <c r="J27">
        <v>86</v>
      </c>
      <c r="K27" t="s">
        <v>85</v>
      </c>
      <c r="L27">
        <v>2.077</v>
      </c>
      <c r="M27">
        <f t="shared" si="3"/>
        <v>6.1999999999999833E-2</v>
      </c>
      <c r="N27">
        <v>87</v>
      </c>
      <c r="O27" t="s">
        <v>86</v>
      </c>
      <c r="P27">
        <v>2.56</v>
      </c>
      <c r="Q27">
        <f t="shared" si="4"/>
        <v>1.5296666666666667</v>
      </c>
      <c r="R27">
        <f t="shared" si="5"/>
        <v>24.672043010752756</v>
      </c>
      <c r="V27" t="s">
        <v>150</v>
      </c>
      <c r="W27">
        <v>7.4660000000000002</v>
      </c>
      <c r="X27">
        <v>6.4356666666666671</v>
      </c>
      <c r="Y27">
        <v>13.751424501424504</v>
      </c>
      <c r="Z27">
        <v>110</v>
      </c>
      <c r="AA27">
        <v>4.023181839528009</v>
      </c>
      <c r="AB27">
        <f t="shared" si="0"/>
        <v>13.751270998540875</v>
      </c>
      <c r="AC27">
        <f t="shared" si="1"/>
        <v>-1.5350288362903086E-4</v>
      </c>
      <c r="AE27" s="3">
        <f t="shared" si="2"/>
        <v>8.1115739320359204</v>
      </c>
    </row>
    <row r="28" spans="3:31" x14ac:dyDescent="0.35">
      <c r="C28">
        <v>26</v>
      </c>
      <c r="D28" t="s">
        <v>25</v>
      </c>
      <c r="E28">
        <v>3.0720000000000001</v>
      </c>
      <c r="J28">
        <v>90</v>
      </c>
      <c r="K28" t="s">
        <v>89</v>
      </c>
      <c r="L28">
        <v>2.0939999999999999</v>
      </c>
      <c r="M28">
        <f t="shared" si="3"/>
        <v>7.8999999999999737E-2</v>
      </c>
      <c r="N28">
        <v>91</v>
      </c>
      <c r="O28" t="s">
        <v>90</v>
      </c>
      <c r="P28">
        <v>2.7429999999999999</v>
      </c>
      <c r="Q28">
        <f t="shared" si="4"/>
        <v>1.7126666666666666</v>
      </c>
      <c r="R28">
        <f t="shared" si="5"/>
        <v>21.679324894514838</v>
      </c>
      <c r="V28" t="s">
        <v>154</v>
      </c>
      <c r="W28">
        <v>7.4409999999999998</v>
      </c>
      <c r="X28">
        <v>6.4106666666666667</v>
      </c>
      <c r="Y28">
        <v>13.875901875901883</v>
      </c>
      <c r="Z28">
        <v>115</v>
      </c>
      <c r="AA28">
        <v>4.0126912451494938</v>
      </c>
      <c r="AB28">
        <f t="shared" si="0"/>
        <v>13.875750344165425</v>
      </c>
      <c r="AC28">
        <f t="shared" si="1"/>
        <v>-1.5153173645821028E-4</v>
      </c>
      <c r="AE28" s="3">
        <f t="shared" si="2"/>
        <v>8.1209429258669363</v>
      </c>
    </row>
    <row r="29" spans="3:31" x14ac:dyDescent="0.35">
      <c r="C29">
        <v>27</v>
      </c>
      <c r="D29" t="s">
        <v>26</v>
      </c>
      <c r="E29">
        <v>6.5449999999999999</v>
      </c>
      <c r="J29">
        <v>94</v>
      </c>
      <c r="K29" t="s">
        <v>93</v>
      </c>
      <c r="L29">
        <v>2.1110000000000002</v>
      </c>
      <c r="M29">
        <f t="shared" si="3"/>
        <v>9.6000000000000085E-2</v>
      </c>
      <c r="N29">
        <v>95</v>
      </c>
      <c r="O29" t="s">
        <v>94</v>
      </c>
      <c r="P29">
        <v>2.9009999999999998</v>
      </c>
      <c r="Q29">
        <f t="shared" si="4"/>
        <v>1.8706666666666665</v>
      </c>
      <c r="R29">
        <f t="shared" si="5"/>
        <v>19.486111111111093</v>
      </c>
      <c r="V29" t="s">
        <v>158</v>
      </c>
      <c r="W29">
        <v>7.4189999999999996</v>
      </c>
      <c r="X29">
        <v>6.3886666666666665</v>
      </c>
      <c r="Y29">
        <v>13.680228408279797</v>
      </c>
      <c r="Z29">
        <v>120</v>
      </c>
      <c r="AA29">
        <v>8.0763025949806515</v>
      </c>
      <c r="AB29">
        <f t="shared" si="0"/>
        <v>13.680206682676783</v>
      </c>
      <c r="AC29">
        <f t="shared" si="1"/>
        <v>-2.1725603014388639E-5</v>
      </c>
      <c r="AE29" s="3">
        <f t="shared" si="2"/>
        <v>8.1061770414470882</v>
      </c>
    </row>
    <row r="30" spans="3:31" x14ac:dyDescent="0.35">
      <c r="C30">
        <v>28</v>
      </c>
      <c r="D30" t="s">
        <v>27</v>
      </c>
      <c r="E30">
        <v>170.26300000000001</v>
      </c>
      <c r="J30">
        <v>98</v>
      </c>
      <c r="K30" t="s">
        <v>97</v>
      </c>
      <c r="L30">
        <v>2.1320000000000001</v>
      </c>
      <c r="M30">
        <f t="shared" si="3"/>
        <v>0.11699999999999999</v>
      </c>
      <c r="N30">
        <v>99</v>
      </c>
      <c r="O30" t="s">
        <v>98</v>
      </c>
      <c r="P30">
        <v>3.1280000000000001</v>
      </c>
      <c r="Q30">
        <f t="shared" si="4"/>
        <v>2.097666666666667</v>
      </c>
      <c r="R30">
        <f t="shared" si="5"/>
        <v>17.928774928774931</v>
      </c>
      <c r="V30" t="s">
        <v>162</v>
      </c>
      <c r="W30">
        <v>7.4020000000000001</v>
      </c>
      <c r="X30">
        <v>6.371666666666667</v>
      </c>
      <c r="Y30">
        <v>13.911935953420679</v>
      </c>
      <c r="Z30">
        <v>125</v>
      </c>
      <c r="AA30">
        <v>4.0096644510234833</v>
      </c>
      <c r="AB30">
        <f t="shared" si="0"/>
        <v>13.911784986553215</v>
      </c>
      <c r="AC30">
        <f t="shared" si="1"/>
        <v>-1.5096686746396415E-4</v>
      </c>
      <c r="AE30" s="3">
        <f t="shared" si="2"/>
        <v>8.1236394067726074</v>
      </c>
    </row>
    <row r="31" spans="3:31" x14ac:dyDescent="0.35">
      <c r="C31">
        <v>29</v>
      </c>
      <c r="D31" t="s">
        <v>28</v>
      </c>
      <c r="E31">
        <v>2.2970000000000002</v>
      </c>
      <c r="J31">
        <v>102</v>
      </c>
      <c r="K31" t="s">
        <v>101</v>
      </c>
      <c r="L31">
        <v>2.16</v>
      </c>
      <c r="M31">
        <f t="shared" si="3"/>
        <v>0.14500000000000002</v>
      </c>
      <c r="N31">
        <v>103</v>
      </c>
      <c r="O31" t="s">
        <v>102</v>
      </c>
      <c r="P31">
        <v>3.4169999999999998</v>
      </c>
      <c r="Q31">
        <f t="shared" si="4"/>
        <v>2.3866666666666667</v>
      </c>
      <c r="R31">
        <f t="shared" si="5"/>
        <v>16.459770114942526</v>
      </c>
      <c r="V31" t="s">
        <v>166</v>
      </c>
      <c r="W31">
        <v>7.3639999999999999</v>
      </c>
      <c r="X31">
        <v>6.3336666666666668</v>
      </c>
      <c r="Y31">
        <v>13.859226841721377</v>
      </c>
      <c r="Z31">
        <v>130</v>
      </c>
      <c r="AA31">
        <v>4.0140934374059061</v>
      </c>
      <c r="AB31">
        <f t="shared" si="0"/>
        <v>13.859075047724474</v>
      </c>
      <c r="AC31">
        <f t="shared" si="1"/>
        <v>-1.5179399690268269E-4</v>
      </c>
      <c r="AE31" s="3">
        <f t="shared" si="2"/>
        <v>8.1196927386544804</v>
      </c>
    </row>
    <row r="32" spans="3:31" x14ac:dyDescent="0.35">
      <c r="C32">
        <v>30</v>
      </c>
      <c r="D32" t="s">
        <v>29</v>
      </c>
      <c r="E32">
        <v>3.081</v>
      </c>
      <c r="J32">
        <v>106</v>
      </c>
      <c r="K32" t="s">
        <v>105</v>
      </c>
      <c r="L32">
        <v>2.1960000000000002</v>
      </c>
      <c r="M32">
        <f t="shared" si="3"/>
        <v>0.18100000000000005</v>
      </c>
      <c r="N32">
        <v>107</v>
      </c>
      <c r="O32" t="s">
        <v>106</v>
      </c>
      <c r="P32">
        <v>3.77</v>
      </c>
      <c r="Q32">
        <f t="shared" si="4"/>
        <v>2.7396666666666665</v>
      </c>
      <c r="R32">
        <f t="shared" si="5"/>
        <v>15.13627992633517</v>
      </c>
      <c r="V32" t="s">
        <v>170</v>
      </c>
      <c r="W32">
        <v>7.3109999999999999</v>
      </c>
      <c r="X32">
        <v>6.2806666666666668</v>
      </c>
      <c r="Y32">
        <v>13.988121752041579</v>
      </c>
      <c r="Z32">
        <v>135</v>
      </c>
      <c r="AA32">
        <v>4.0032797058967242</v>
      </c>
      <c r="AB32">
        <f t="shared" si="0"/>
        <v>13.987971971175682</v>
      </c>
      <c r="AC32">
        <f t="shared" si="1"/>
        <v>-1.4978086589678696E-4</v>
      </c>
      <c r="AE32" s="3">
        <f t="shared" si="2"/>
        <v>8.1293175776166535</v>
      </c>
    </row>
    <row r="33" spans="3:31" x14ac:dyDescent="0.35">
      <c r="C33">
        <v>31</v>
      </c>
      <c r="D33" t="s">
        <v>30</v>
      </c>
      <c r="E33">
        <v>6.5110000000000001</v>
      </c>
      <c r="J33">
        <v>110</v>
      </c>
      <c r="K33" t="s">
        <v>109</v>
      </c>
      <c r="L33">
        <v>2.2389999999999999</v>
      </c>
      <c r="M33">
        <f t="shared" si="3"/>
        <v>0.22399999999999975</v>
      </c>
      <c r="N33">
        <v>111</v>
      </c>
      <c r="O33" t="s">
        <v>110</v>
      </c>
      <c r="P33">
        <v>4.2279999999999998</v>
      </c>
      <c r="Q33">
        <f t="shared" si="4"/>
        <v>3.1976666666666667</v>
      </c>
      <c r="R33">
        <f t="shared" si="5"/>
        <v>14.275297619047635</v>
      </c>
      <c r="V33" t="s">
        <v>174</v>
      </c>
      <c r="W33">
        <v>7.29</v>
      </c>
      <c r="X33">
        <v>6.2596666666666669</v>
      </c>
      <c r="Y33">
        <v>13.91037037037038</v>
      </c>
      <c r="Z33">
        <v>140</v>
      </c>
      <c r="AA33">
        <v>4.0097958638384732</v>
      </c>
      <c r="AB33">
        <f t="shared" si="0"/>
        <v>13.910219379013625</v>
      </c>
      <c r="AC33">
        <f t="shared" si="1"/>
        <v>-1.5099135675455955E-4</v>
      </c>
      <c r="AE33" s="3">
        <f t="shared" si="2"/>
        <v>8.1235223971883137</v>
      </c>
    </row>
    <row r="34" spans="3:31" x14ac:dyDescent="0.35">
      <c r="C34">
        <v>32</v>
      </c>
      <c r="D34" t="s">
        <v>31</v>
      </c>
      <c r="E34">
        <v>170.178</v>
      </c>
      <c r="J34">
        <v>114</v>
      </c>
      <c r="K34" t="s">
        <v>113</v>
      </c>
      <c r="L34">
        <v>2.3140000000000001</v>
      </c>
      <c r="M34">
        <f t="shared" si="3"/>
        <v>0.29899999999999993</v>
      </c>
      <c r="N34">
        <v>115</v>
      </c>
      <c r="O34" t="s">
        <v>114</v>
      </c>
      <c r="P34">
        <v>4.9089999999999998</v>
      </c>
      <c r="Q34">
        <f t="shared" si="4"/>
        <v>3.8786666666666667</v>
      </c>
      <c r="R34">
        <f t="shared" si="5"/>
        <v>12.97212931995541</v>
      </c>
      <c r="V34" t="s">
        <v>178</v>
      </c>
      <c r="W34">
        <v>7.266</v>
      </c>
      <c r="X34">
        <v>6.2356666666666669</v>
      </c>
      <c r="Y34">
        <v>13.981315396113612</v>
      </c>
      <c r="Z34">
        <v>145</v>
      </c>
      <c r="AA34">
        <v>4.0038493026602788</v>
      </c>
      <c r="AB34">
        <f t="shared" si="0"/>
        <v>13.981165509744159</v>
      </c>
      <c r="AC34">
        <f t="shared" si="1"/>
        <v>-1.4988636945290068E-4</v>
      </c>
      <c r="AE34" s="3">
        <f t="shared" si="2"/>
        <v>8.1288115556258216</v>
      </c>
    </row>
    <row r="35" spans="3:31" x14ac:dyDescent="0.35">
      <c r="C35">
        <v>33</v>
      </c>
      <c r="D35" t="s">
        <v>32</v>
      </c>
      <c r="E35">
        <v>2.3260000000000001</v>
      </c>
      <c r="J35">
        <v>118</v>
      </c>
      <c r="K35" t="s">
        <v>117</v>
      </c>
      <c r="L35">
        <v>2.4119999999999999</v>
      </c>
      <c r="M35">
        <f t="shared" si="3"/>
        <v>0.3969999999999998</v>
      </c>
      <c r="N35">
        <v>119</v>
      </c>
      <c r="O35" t="s">
        <v>118</v>
      </c>
      <c r="P35">
        <v>5.9640000000000004</v>
      </c>
      <c r="Q35">
        <f t="shared" si="4"/>
        <v>4.9336666666666673</v>
      </c>
      <c r="R35">
        <f t="shared" si="5"/>
        <v>12.427371956339218</v>
      </c>
      <c r="V35" t="s">
        <v>182</v>
      </c>
      <c r="W35">
        <v>7.218</v>
      </c>
      <c r="X35">
        <v>6.1876666666666669</v>
      </c>
      <c r="Y35">
        <v>13.936186186186188</v>
      </c>
      <c r="Z35">
        <v>150</v>
      </c>
      <c r="AA35">
        <v>4.0076299994109492</v>
      </c>
      <c r="AB35">
        <f t="shared" si="0"/>
        <v>13.936035598040291</v>
      </c>
      <c r="AC35">
        <f t="shared" si="1"/>
        <v>-1.5058814589608005E-4</v>
      </c>
      <c r="AE35" s="3">
        <f t="shared" si="2"/>
        <v>8.1254501570453037</v>
      </c>
    </row>
    <row r="36" spans="3:31" x14ac:dyDescent="0.35">
      <c r="C36">
        <v>34</v>
      </c>
      <c r="D36" t="s">
        <v>33</v>
      </c>
      <c r="E36">
        <v>3.0739999999999998</v>
      </c>
      <c r="J36">
        <v>122</v>
      </c>
      <c r="K36" t="s">
        <v>121</v>
      </c>
      <c r="L36">
        <v>2.4969999999999999</v>
      </c>
      <c r="M36">
        <f t="shared" si="3"/>
        <v>0.48199999999999976</v>
      </c>
      <c r="N36">
        <v>123</v>
      </c>
      <c r="O36" t="s">
        <v>122</v>
      </c>
      <c r="P36">
        <v>6.9420000000000002</v>
      </c>
      <c r="Q36">
        <f t="shared" si="4"/>
        <v>5.9116666666666671</v>
      </c>
      <c r="R36">
        <f t="shared" si="5"/>
        <v>12.264868603042883</v>
      </c>
      <c r="V36" t="s">
        <v>186</v>
      </c>
      <c r="W36">
        <v>7.1980000000000004</v>
      </c>
      <c r="X36">
        <v>6.1676666666666673</v>
      </c>
      <c r="Y36">
        <v>14.017424242424246</v>
      </c>
      <c r="Z36">
        <v>155</v>
      </c>
      <c r="AA36">
        <v>4.0008293031551538</v>
      </c>
      <c r="AB36">
        <f t="shared" si="0"/>
        <v>14.01727491476592</v>
      </c>
      <c r="AC36">
        <f t="shared" si="1"/>
        <v>-1.4932765832575967E-4</v>
      </c>
      <c r="AE36" s="3">
        <f t="shared" si="2"/>
        <v>8.1314932780564533</v>
      </c>
    </row>
    <row r="37" spans="3:31" x14ac:dyDescent="0.35">
      <c r="C37">
        <v>35</v>
      </c>
      <c r="D37" t="s">
        <v>34</v>
      </c>
      <c r="E37">
        <v>6.5270000000000001</v>
      </c>
      <c r="J37">
        <v>126</v>
      </c>
      <c r="K37" t="s">
        <v>125</v>
      </c>
      <c r="L37">
        <v>2.5059999999999998</v>
      </c>
      <c r="M37">
        <f t="shared" si="3"/>
        <v>0.49099999999999966</v>
      </c>
      <c r="N37">
        <v>127</v>
      </c>
      <c r="O37" t="s">
        <v>126</v>
      </c>
      <c r="P37">
        <v>7.4180000000000001</v>
      </c>
      <c r="Q37">
        <f t="shared" si="4"/>
        <v>6.387666666666667</v>
      </c>
      <c r="R37">
        <f t="shared" si="5"/>
        <v>13.009504412763079</v>
      </c>
    </row>
    <row r="38" spans="3:31" x14ac:dyDescent="0.35">
      <c r="C38">
        <v>36</v>
      </c>
      <c r="D38" t="s">
        <v>35</v>
      </c>
      <c r="E38">
        <v>170.434</v>
      </c>
      <c r="J38">
        <v>130</v>
      </c>
      <c r="K38" t="s">
        <v>129</v>
      </c>
      <c r="L38">
        <v>2.4929999999999999</v>
      </c>
      <c r="M38">
        <f t="shared" si="3"/>
        <v>0.47799999999999976</v>
      </c>
      <c r="N38">
        <v>131</v>
      </c>
      <c r="O38" t="s">
        <v>130</v>
      </c>
      <c r="P38">
        <v>7.5380000000000003</v>
      </c>
      <c r="Q38">
        <f t="shared" si="4"/>
        <v>6.5076666666666672</v>
      </c>
      <c r="R38">
        <f t="shared" si="5"/>
        <v>13.614365411436548</v>
      </c>
    </row>
    <row r="39" spans="3:31" x14ac:dyDescent="0.35">
      <c r="C39">
        <v>37</v>
      </c>
      <c r="D39" t="s">
        <v>36</v>
      </c>
      <c r="E39">
        <v>2.3250000000000002</v>
      </c>
      <c r="J39">
        <v>134</v>
      </c>
      <c r="K39" t="s">
        <v>133</v>
      </c>
      <c r="L39">
        <v>2.4860000000000002</v>
      </c>
      <c r="M39">
        <f t="shared" si="3"/>
        <v>0.47100000000000009</v>
      </c>
      <c r="N39">
        <v>135</v>
      </c>
      <c r="O39" t="s">
        <v>134</v>
      </c>
      <c r="P39">
        <v>7.56</v>
      </c>
      <c r="Q39">
        <f t="shared" si="4"/>
        <v>6.5296666666666665</v>
      </c>
      <c r="R39">
        <f t="shared" si="5"/>
        <v>13.863411181882517</v>
      </c>
    </row>
    <row r="40" spans="3:31" x14ac:dyDescent="0.35">
      <c r="C40">
        <v>38</v>
      </c>
      <c r="D40" t="s">
        <v>37</v>
      </c>
      <c r="E40">
        <v>2.69</v>
      </c>
      <c r="J40">
        <v>138</v>
      </c>
      <c r="K40" t="s">
        <v>137</v>
      </c>
      <c r="L40">
        <v>2.4870000000000001</v>
      </c>
      <c r="M40">
        <f t="shared" si="3"/>
        <v>0.47199999999999998</v>
      </c>
      <c r="N40">
        <v>139</v>
      </c>
      <c r="O40" t="s">
        <v>138</v>
      </c>
      <c r="P40">
        <v>7.5449999999999999</v>
      </c>
      <c r="Q40">
        <f t="shared" si="4"/>
        <v>6.5146666666666668</v>
      </c>
      <c r="R40">
        <f t="shared" si="5"/>
        <v>13.802259887005651</v>
      </c>
    </row>
    <row r="41" spans="3:31" x14ac:dyDescent="0.35">
      <c r="C41">
        <v>39</v>
      </c>
      <c r="D41" t="s">
        <v>38</v>
      </c>
      <c r="E41">
        <v>6.7409999999999997</v>
      </c>
      <c r="J41">
        <v>142</v>
      </c>
      <c r="K41" t="s">
        <v>141</v>
      </c>
      <c r="L41">
        <v>2.4910000000000001</v>
      </c>
      <c r="M41">
        <f t="shared" si="3"/>
        <v>0.47599999999999998</v>
      </c>
      <c r="N41">
        <v>143</v>
      </c>
      <c r="O41" t="s">
        <v>142</v>
      </c>
      <c r="P41">
        <v>7.5339999999999998</v>
      </c>
      <c r="Q41">
        <f t="shared" si="4"/>
        <v>6.5036666666666667</v>
      </c>
      <c r="R41">
        <f t="shared" si="5"/>
        <v>13.663165266106443</v>
      </c>
    </row>
    <row r="42" spans="3:31" x14ac:dyDescent="0.35">
      <c r="C42">
        <v>40</v>
      </c>
      <c r="D42" t="s">
        <v>39</v>
      </c>
      <c r="E42">
        <v>177.626</v>
      </c>
      <c r="J42">
        <v>146</v>
      </c>
      <c r="K42" t="s">
        <v>145</v>
      </c>
      <c r="L42">
        <v>2.4889999999999999</v>
      </c>
      <c r="M42">
        <f t="shared" si="3"/>
        <v>0.47399999999999975</v>
      </c>
      <c r="N42">
        <v>147</v>
      </c>
      <c r="O42" t="s">
        <v>146</v>
      </c>
      <c r="P42">
        <v>7.5010000000000003</v>
      </c>
      <c r="Q42">
        <f t="shared" si="4"/>
        <v>6.4706666666666672</v>
      </c>
      <c r="R42">
        <f t="shared" si="5"/>
        <v>13.651195499296774</v>
      </c>
    </row>
    <row r="43" spans="3:31" x14ac:dyDescent="0.35">
      <c r="C43">
        <v>41</v>
      </c>
      <c r="D43" t="s">
        <v>40</v>
      </c>
      <c r="E43">
        <v>2.3279999999999998</v>
      </c>
      <c r="J43">
        <v>150</v>
      </c>
      <c r="K43" t="s">
        <v>149</v>
      </c>
      <c r="L43">
        <v>2.4830000000000001</v>
      </c>
      <c r="M43">
        <f t="shared" si="3"/>
        <v>0.46799999999999997</v>
      </c>
      <c r="N43">
        <v>151</v>
      </c>
      <c r="O43" t="s">
        <v>150</v>
      </c>
      <c r="P43">
        <v>7.4660000000000002</v>
      </c>
      <c r="Q43">
        <f t="shared" si="4"/>
        <v>6.4356666666666671</v>
      </c>
      <c r="R43">
        <f t="shared" si="5"/>
        <v>13.751424501424504</v>
      </c>
    </row>
    <row r="44" spans="3:31" x14ac:dyDescent="0.35">
      <c r="C44">
        <v>42</v>
      </c>
      <c r="D44" t="s">
        <v>41</v>
      </c>
      <c r="E44">
        <v>2.6930000000000001</v>
      </c>
      <c r="J44">
        <v>154</v>
      </c>
      <c r="K44" t="s">
        <v>153</v>
      </c>
      <c r="L44">
        <v>2.4769999999999999</v>
      </c>
      <c r="M44">
        <f t="shared" si="3"/>
        <v>0.46199999999999974</v>
      </c>
      <c r="N44">
        <v>155</v>
      </c>
      <c r="O44" t="s">
        <v>154</v>
      </c>
      <c r="P44">
        <v>7.4409999999999998</v>
      </c>
      <c r="Q44">
        <f t="shared" si="4"/>
        <v>6.4106666666666667</v>
      </c>
      <c r="R44">
        <f t="shared" si="5"/>
        <v>13.875901875901883</v>
      </c>
    </row>
    <row r="45" spans="3:31" x14ac:dyDescent="0.35">
      <c r="C45">
        <v>43</v>
      </c>
      <c r="D45" t="s">
        <v>42</v>
      </c>
      <c r="E45">
        <v>6.7590000000000003</v>
      </c>
      <c r="J45">
        <v>158</v>
      </c>
      <c r="K45" t="s">
        <v>157</v>
      </c>
      <c r="L45">
        <v>2.4820000000000002</v>
      </c>
      <c r="M45">
        <f t="shared" si="3"/>
        <v>0.46700000000000008</v>
      </c>
      <c r="N45">
        <v>159</v>
      </c>
      <c r="O45" t="s">
        <v>158</v>
      </c>
      <c r="P45">
        <v>7.4189999999999996</v>
      </c>
      <c r="Q45">
        <f t="shared" si="4"/>
        <v>6.3886666666666665</v>
      </c>
      <c r="R45">
        <f t="shared" si="5"/>
        <v>13.680228408279797</v>
      </c>
    </row>
    <row r="46" spans="3:31" x14ac:dyDescent="0.35">
      <c r="C46">
        <v>44</v>
      </c>
      <c r="D46" t="s">
        <v>43</v>
      </c>
      <c r="E46">
        <v>177.726</v>
      </c>
      <c r="J46">
        <v>162</v>
      </c>
      <c r="K46" t="s">
        <v>161</v>
      </c>
      <c r="L46">
        <v>2.4729999999999999</v>
      </c>
      <c r="M46">
        <f t="shared" si="3"/>
        <v>0.45799999999999974</v>
      </c>
      <c r="N46">
        <v>163</v>
      </c>
      <c r="O46" t="s">
        <v>162</v>
      </c>
      <c r="P46">
        <v>7.4020000000000001</v>
      </c>
      <c r="Q46">
        <f t="shared" si="4"/>
        <v>6.371666666666667</v>
      </c>
      <c r="R46">
        <f t="shared" si="5"/>
        <v>13.911935953420679</v>
      </c>
    </row>
    <row r="47" spans="3:31" x14ac:dyDescent="0.35">
      <c r="C47">
        <v>45</v>
      </c>
      <c r="D47" t="s">
        <v>44</v>
      </c>
      <c r="E47">
        <v>2.3199999999999998</v>
      </c>
      <c r="J47">
        <v>166</v>
      </c>
      <c r="K47" t="s">
        <v>165</v>
      </c>
      <c r="L47">
        <v>2.472</v>
      </c>
      <c r="M47">
        <f t="shared" si="3"/>
        <v>0.45699999999999985</v>
      </c>
      <c r="N47">
        <v>167</v>
      </c>
      <c r="O47" t="s">
        <v>166</v>
      </c>
      <c r="P47">
        <v>7.3639999999999999</v>
      </c>
      <c r="Q47">
        <f t="shared" si="4"/>
        <v>6.3336666666666668</v>
      </c>
      <c r="R47">
        <f t="shared" si="5"/>
        <v>13.859226841721377</v>
      </c>
    </row>
    <row r="48" spans="3:31" x14ac:dyDescent="0.35">
      <c r="C48">
        <v>46</v>
      </c>
      <c r="D48" t="s">
        <v>45</v>
      </c>
      <c r="E48">
        <v>2.7</v>
      </c>
      <c r="J48">
        <v>170</v>
      </c>
      <c r="K48" t="s">
        <v>169</v>
      </c>
      <c r="L48">
        <v>2.464</v>
      </c>
      <c r="M48">
        <f t="shared" si="3"/>
        <v>0.44899999999999984</v>
      </c>
      <c r="N48">
        <v>171</v>
      </c>
      <c r="O48" t="s">
        <v>170</v>
      </c>
      <c r="P48">
        <v>7.3109999999999999</v>
      </c>
      <c r="Q48">
        <f t="shared" si="4"/>
        <v>6.2806666666666668</v>
      </c>
      <c r="R48">
        <f t="shared" si="5"/>
        <v>13.988121752041579</v>
      </c>
    </row>
    <row r="49" spans="3:18" x14ac:dyDescent="0.35">
      <c r="C49">
        <v>47</v>
      </c>
      <c r="D49" t="s">
        <v>46</v>
      </c>
      <c r="E49">
        <v>6.7850000000000001</v>
      </c>
      <c r="J49">
        <v>174</v>
      </c>
      <c r="K49" t="s">
        <v>173</v>
      </c>
      <c r="L49">
        <v>2.4649999999999999</v>
      </c>
      <c r="M49">
        <f t="shared" si="3"/>
        <v>0.44999999999999973</v>
      </c>
      <c r="N49">
        <v>175</v>
      </c>
      <c r="O49" t="s">
        <v>174</v>
      </c>
      <c r="P49">
        <v>7.29</v>
      </c>
      <c r="Q49">
        <f t="shared" si="4"/>
        <v>6.2596666666666669</v>
      </c>
      <c r="R49">
        <f t="shared" si="5"/>
        <v>13.91037037037038</v>
      </c>
    </row>
    <row r="50" spans="3:18" x14ac:dyDescent="0.35">
      <c r="C50">
        <v>48</v>
      </c>
      <c r="D50" t="s">
        <v>47</v>
      </c>
      <c r="E50">
        <v>178.04300000000001</v>
      </c>
      <c r="J50">
        <v>178</v>
      </c>
      <c r="K50" t="s">
        <v>177</v>
      </c>
      <c r="L50">
        <v>2.4609999999999999</v>
      </c>
      <c r="M50">
        <f t="shared" si="3"/>
        <v>0.44599999999999973</v>
      </c>
      <c r="N50">
        <v>179</v>
      </c>
      <c r="O50" t="s">
        <v>178</v>
      </c>
      <c r="P50">
        <v>7.266</v>
      </c>
      <c r="Q50">
        <f t="shared" si="4"/>
        <v>6.2356666666666669</v>
      </c>
      <c r="R50">
        <f t="shared" si="5"/>
        <v>13.981315396113612</v>
      </c>
    </row>
    <row r="51" spans="3:18" x14ac:dyDescent="0.35">
      <c r="C51">
        <v>49</v>
      </c>
      <c r="D51" t="s">
        <v>48</v>
      </c>
      <c r="E51">
        <v>2.2999999999999998</v>
      </c>
      <c r="J51">
        <v>182</v>
      </c>
      <c r="K51" t="s">
        <v>181</v>
      </c>
      <c r="L51">
        <v>2.4590000000000001</v>
      </c>
      <c r="M51">
        <f t="shared" si="3"/>
        <v>0.44399999999999995</v>
      </c>
      <c r="N51">
        <v>183</v>
      </c>
      <c r="O51" t="s">
        <v>182</v>
      </c>
      <c r="P51">
        <v>7.218</v>
      </c>
      <c r="Q51">
        <f t="shared" si="4"/>
        <v>6.1876666666666669</v>
      </c>
      <c r="R51">
        <f t="shared" si="5"/>
        <v>13.936186186186188</v>
      </c>
    </row>
    <row r="52" spans="3:18" x14ac:dyDescent="0.35">
      <c r="C52">
        <v>50</v>
      </c>
      <c r="D52" t="s">
        <v>49</v>
      </c>
      <c r="E52">
        <v>2.4039999999999999</v>
      </c>
      <c r="J52">
        <v>186</v>
      </c>
      <c r="K52" t="s">
        <v>185</v>
      </c>
      <c r="L52">
        <v>2.4550000000000001</v>
      </c>
      <c r="M52">
        <f t="shared" si="3"/>
        <v>0.43999999999999995</v>
      </c>
      <c r="N52">
        <v>187</v>
      </c>
      <c r="O52" t="s">
        <v>186</v>
      </c>
      <c r="P52">
        <v>7.1980000000000004</v>
      </c>
      <c r="Q52">
        <f t="shared" si="4"/>
        <v>6.1676666666666673</v>
      </c>
      <c r="R52">
        <f t="shared" si="5"/>
        <v>14.017424242424246</v>
      </c>
    </row>
    <row r="53" spans="3:18" x14ac:dyDescent="0.35">
      <c r="C53">
        <v>51</v>
      </c>
      <c r="D53" t="s">
        <v>50</v>
      </c>
      <c r="E53">
        <v>6.7770000000000001</v>
      </c>
      <c r="J53">
        <v>190</v>
      </c>
      <c r="K53" t="s">
        <v>189</v>
      </c>
      <c r="L53">
        <v>2.016</v>
      </c>
      <c r="N53">
        <v>191</v>
      </c>
      <c r="O53" t="s">
        <v>190</v>
      </c>
      <c r="P53">
        <v>1.0289999999999999</v>
      </c>
    </row>
    <row r="54" spans="3:18" x14ac:dyDescent="0.35">
      <c r="C54">
        <v>52</v>
      </c>
      <c r="D54" t="s">
        <v>51</v>
      </c>
      <c r="E54">
        <v>181.91300000000001</v>
      </c>
      <c r="J54">
        <v>194</v>
      </c>
      <c r="K54" t="s">
        <v>193</v>
      </c>
      <c r="L54">
        <v>2.0150000000000001</v>
      </c>
      <c r="N54">
        <v>195</v>
      </c>
      <c r="O54" t="s">
        <v>194</v>
      </c>
      <c r="P54">
        <v>1.032</v>
      </c>
    </row>
    <row r="55" spans="3:18" x14ac:dyDescent="0.35">
      <c r="C55">
        <v>53</v>
      </c>
      <c r="D55" t="s">
        <v>52</v>
      </c>
      <c r="E55">
        <v>2.3180000000000001</v>
      </c>
      <c r="J55">
        <v>198</v>
      </c>
      <c r="K55" t="s">
        <v>197</v>
      </c>
      <c r="L55">
        <v>2.0139999999999998</v>
      </c>
      <c r="N55">
        <v>199</v>
      </c>
      <c r="O55" t="s">
        <v>198</v>
      </c>
      <c r="P55">
        <v>1.03</v>
      </c>
    </row>
    <row r="56" spans="3:18" x14ac:dyDescent="0.35">
      <c r="C56">
        <v>54</v>
      </c>
      <c r="D56" t="s">
        <v>53</v>
      </c>
      <c r="E56">
        <v>2.4079999999999999</v>
      </c>
    </row>
    <row r="57" spans="3:18" x14ac:dyDescent="0.35">
      <c r="C57">
        <v>55</v>
      </c>
      <c r="D57" t="s">
        <v>54</v>
      </c>
      <c r="E57">
        <v>6.7240000000000002</v>
      </c>
    </row>
    <row r="58" spans="3:18" x14ac:dyDescent="0.35">
      <c r="C58">
        <v>56</v>
      </c>
      <c r="D58" t="s">
        <v>55</v>
      </c>
      <c r="E58">
        <v>181.785</v>
      </c>
    </row>
    <row r="59" spans="3:18" x14ac:dyDescent="0.35">
      <c r="C59">
        <v>57</v>
      </c>
      <c r="D59" t="s">
        <v>56</v>
      </c>
      <c r="E59">
        <v>2.3140000000000001</v>
      </c>
    </row>
    <row r="60" spans="3:18" x14ac:dyDescent="0.35">
      <c r="C60">
        <v>58</v>
      </c>
      <c r="D60" t="s">
        <v>57</v>
      </c>
      <c r="E60">
        <v>2.4039999999999999</v>
      </c>
    </row>
    <row r="61" spans="3:18" x14ac:dyDescent="0.35">
      <c r="C61">
        <v>59</v>
      </c>
      <c r="D61" t="s">
        <v>58</v>
      </c>
      <c r="E61">
        <v>6.7469999999999999</v>
      </c>
    </row>
    <row r="62" spans="3:18" x14ac:dyDescent="0.35">
      <c r="C62">
        <v>60</v>
      </c>
      <c r="D62" t="s">
        <v>59</v>
      </c>
      <c r="E62">
        <v>181.78800000000001</v>
      </c>
    </row>
    <row r="63" spans="3:18" x14ac:dyDescent="0.35">
      <c r="C63">
        <v>61</v>
      </c>
      <c r="D63" t="s">
        <v>60</v>
      </c>
      <c r="E63">
        <v>2.6930000000000001</v>
      </c>
    </row>
    <row r="64" spans="3:18" x14ac:dyDescent="0.35">
      <c r="C64">
        <v>62</v>
      </c>
      <c r="D64" t="s">
        <v>61</v>
      </c>
      <c r="E64">
        <v>2.036</v>
      </c>
    </row>
    <row r="65" spans="3:5" x14ac:dyDescent="0.35">
      <c r="C65">
        <v>63</v>
      </c>
      <c r="D65" t="s">
        <v>62</v>
      </c>
      <c r="E65">
        <v>2.121</v>
      </c>
    </row>
    <row r="66" spans="3:5" x14ac:dyDescent="0.35">
      <c r="C66">
        <v>64</v>
      </c>
      <c r="D66" t="s">
        <v>63</v>
      </c>
      <c r="E66">
        <v>148.59299999999999</v>
      </c>
    </row>
    <row r="67" spans="3:5" x14ac:dyDescent="0.35">
      <c r="C67">
        <v>65</v>
      </c>
      <c r="D67" t="s">
        <v>64</v>
      </c>
      <c r="E67">
        <v>3.069</v>
      </c>
    </row>
    <row r="68" spans="3:5" x14ac:dyDescent="0.35">
      <c r="C68">
        <v>66</v>
      </c>
      <c r="D68" t="s">
        <v>65</v>
      </c>
      <c r="E68">
        <v>2.0379999999999998</v>
      </c>
    </row>
    <row r="69" spans="3:5" x14ac:dyDescent="0.35">
      <c r="C69">
        <v>67</v>
      </c>
      <c r="D69" t="s">
        <v>66</v>
      </c>
      <c r="E69">
        <v>2.169</v>
      </c>
    </row>
    <row r="70" spans="3:5" x14ac:dyDescent="0.35">
      <c r="C70">
        <v>68</v>
      </c>
      <c r="D70" t="s">
        <v>67</v>
      </c>
      <c r="E70">
        <v>148.505</v>
      </c>
    </row>
    <row r="71" spans="3:5" x14ac:dyDescent="0.35">
      <c r="C71">
        <v>69</v>
      </c>
      <c r="D71" t="s">
        <v>68</v>
      </c>
      <c r="E71">
        <v>4.9219999999999997</v>
      </c>
    </row>
    <row r="72" spans="3:5" x14ac:dyDescent="0.35">
      <c r="C72">
        <v>70</v>
      </c>
      <c r="D72" t="s">
        <v>69</v>
      </c>
      <c r="E72">
        <v>2.0419999999999998</v>
      </c>
    </row>
    <row r="73" spans="3:5" x14ac:dyDescent="0.35">
      <c r="C73">
        <v>71</v>
      </c>
      <c r="D73" t="s">
        <v>70</v>
      </c>
      <c r="E73">
        <v>2.2090000000000001</v>
      </c>
    </row>
    <row r="74" spans="3:5" x14ac:dyDescent="0.35">
      <c r="C74">
        <v>72</v>
      </c>
      <c r="D74" t="s">
        <v>71</v>
      </c>
      <c r="E74">
        <v>148.24799999999999</v>
      </c>
    </row>
    <row r="75" spans="3:5" x14ac:dyDescent="0.35">
      <c r="C75">
        <v>73</v>
      </c>
      <c r="D75" t="s">
        <v>72</v>
      </c>
      <c r="E75">
        <v>10.529</v>
      </c>
    </row>
    <row r="76" spans="3:5" x14ac:dyDescent="0.35">
      <c r="C76">
        <v>74</v>
      </c>
      <c r="D76" t="s">
        <v>73</v>
      </c>
      <c r="E76">
        <v>2.0489999999999999</v>
      </c>
    </row>
    <row r="77" spans="3:5" x14ac:dyDescent="0.35">
      <c r="C77">
        <v>75</v>
      </c>
      <c r="D77" t="s">
        <v>74</v>
      </c>
      <c r="E77">
        <v>2.2930000000000001</v>
      </c>
    </row>
    <row r="78" spans="3:5" x14ac:dyDescent="0.35">
      <c r="C78">
        <v>76</v>
      </c>
      <c r="D78" t="s">
        <v>75</v>
      </c>
      <c r="E78">
        <v>148.39099999999999</v>
      </c>
    </row>
    <row r="79" spans="3:5" x14ac:dyDescent="0.35">
      <c r="C79">
        <v>77</v>
      </c>
      <c r="D79" t="s">
        <v>76</v>
      </c>
      <c r="E79">
        <v>18.535</v>
      </c>
    </row>
    <row r="80" spans="3:5" x14ac:dyDescent="0.35">
      <c r="C80">
        <v>78</v>
      </c>
      <c r="D80" t="s">
        <v>77</v>
      </c>
      <c r="E80">
        <v>2.0569999999999999</v>
      </c>
    </row>
    <row r="81" spans="3:5" x14ac:dyDescent="0.35">
      <c r="C81">
        <v>79</v>
      </c>
      <c r="D81" t="s">
        <v>78</v>
      </c>
      <c r="E81">
        <v>2.379</v>
      </c>
    </row>
    <row r="82" spans="3:5" x14ac:dyDescent="0.35">
      <c r="C82">
        <v>80</v>
      </c>
      <c r="D82" t="s">
        <v>79</v>
      </c>
      <c r="E82">
        <v>148.36600000000001</v>
      </c>
    </row>
    <row r="83" spans="3:5" x14ac:dyDescent="0.35">
      <c r="C83">
        <v>81</v>
      </c>
      <c r="D83" t="s">
        <v>80</v>
      </c>
      <c r="E83">
        <v>30.289000000000001</v>
      </c>
    </row>
    <row r="84" spans="3:5" x14ac:dyDescent="0.35">
      <c r="C84">
        <v>82</v>
      </c>
      <c r="D84" t="s">
        <v>81</v>
      </c>
      <c r="E84">
        <v>2.0659999999999998</v>
      </c>
    </row>
    <row r="85" spans="3:5" x14ac:dyDescent="0.35">
      <c r="C85">
        <v>83</v>
      </c>
      <c r="D85" t="s">
        <v>82</v>
      </c>
      <c r="E85">
        <v>2.4510000000000001</v>
      </c>
    </row>
    <row r="86" spans="3:5" x14ac:dyDescent="0.35">
      <c r="C86">
        <v>84</v>
      </c>
      <c r="D86" t="s">
        <v>83</v>
      </c>
      <c r="E86">
        <v>148.476</v>
      </c>
    </row>
    <row r="87" spans="3:5" x14ac:dyDescent="0.35">
      <c r="C87">
        <v>85</v>
      </c>
      <c r="D87" t="s">
        <v>84</v>
      </c>
      <c r="E87">
        <v>42.557000000000002</v>
      </c>
    </row>
    <row r="88" spans="3:5" x14ac:dyDescent="0.35">
      <c r="C88">
        <v>86</v>
      </c>
      <c r="D88" t="s">
        <v>85</v>
      </c>
      <c r="E88">
        <v>2.077</v>
      </c>
    </row>
    <row r="89" spans="3:5" x14ac:dyDescent="0.35">
      <c r="C89">
        <v>87</v>
      </c>
      <c r="D89" t="s">
        <v>86</v>
      </c>
      <c r="E89">
        <v>2.56</v>
      </c>
    </row>
    <row r="90" spans="3:5" x14ac:dyDescent="0.35">
      <c r="C90">
        <v>88</v>
      </c>
      <c r="D90" t="s">
        <v>87</v>
      </c>
      <c r="E90">
        <v>148.459</v>
      </c>
    </row>
    <row r="91" spans="3:5" x14ac:dyDescent="0.35">
      <c r="C91">
        <v>89</v>
      </c>
      <c r="D91" t="s">
        <v>88</v>
      </c>
      <c r="E91">
        <v>56.088000000000001</v>
      </c>
    </row>
    <row r="92" spans="3:5" x14ac:dyDescent="0.35">
      <c r="C92">
        <v>90</v>
      </c>
      <c r="D92" t="s">
        <v>89</v>
      </c>
      <c r="E92">
        <v>2.0939999999999999</v>
      </c>
    </row>
    <row r="93" spans="3:5" x14ac:dyDescent="0.35">
      <c r="C93">
        <v>91</v>
      </c>
      <c r="D93" t="s">
        <v>90</v>
      </c>
      <c r="E93">
        <v>2.7429999999999999</v>
      </c>
    </row>
    <row r="94" spans="3:5" x14ac:dyDescent="0.35">
      <c r="C94">
        <v>92</v>
      </c>
      <c r="D94" t="s">
        <v>91</v>
      </c>
      <c r="E94">
        <v>148.45099999999999</v>
      </c>
    </row>
    <row r="95" spans="3:5" x14ac:dyDescent="0.35">
      <c r="C95">
        <v>93</v>
      </c>
      <c r="D95" t="s">
        <v>92</v>
      </c>
      <c r="E95">
        <v>74.504000000000005</v>
      </c>
    </row>
    <row r="96" spans="3:5" x14ac:dyDescent="0.35">
      <c r="C96">
        <v>94</v>
      </c>
      <c r="D96" t="s">
        <v>93</v>
      </c>
      <c r="E96">
        <v>2.1110000000000002</v>
      </c>
    </row>
    <row r="97" spans="3:5" x14ac:dyDescent="0.35">
      <c r="C97">
        <v>95</v>
      </c>
      <c r="D97" t="s">
        <v>94</v>
      </c>
      <c r="E97">
        <v>2.9009999999999998</v>
      </c>
    </row>
    <row r="98" spans="3:5" x14ac:dyDescent="0.35">
      <c r="C98">
        <v>96</v>
      </c>
      <c r="D98" t="s">
        <v>95</v>
      </c>
      <c r="E98">
        <v>148.226</v>
      </c>
    </row>
    <row r="99" spans="3:5" x14ac:dyDescent="0.35">
      <c r="C99">
        <v>97</v>
      </c>
      <c r="D99" t="s">
        <v>96</v>
      </c>
      <c r="E99">
        <v>90.747</v>
      </c>
    </row>
    <row r="100" spans="3:5" x14ac:dyDescent="0.35">
      <c r="C100">
        <v>98</v>
      </c>
      <c r="D100" t="s">
        <v>97</v>
      </c>
      <c r="E100">
        <v>2.1320000000000001</v>
      </c>
    </row>
    <row r="101" spans="3:5" x14ac:dyDescent="0.35">
      <c r="C101">
        <v>99</v>
      </c>
      <c r="D101" t="s">
        <v>98</v>
      </c>
      <c r="E101">
        <v>3.1280000000000001</v>
      </c>
    </row>
    <row r="102" spans="3:5" x14ac:dyDescent="0.35">
      <c r="C102">
        <v>100</v>
      </c>
      <c r="D102" t="s">
        <v>99</v>
      </c>
      <c r="E102">
        <v>148.16</v>
      </c>
    </row>
    <row r="103" spans="3:5" x14ac:dyDescent="0.35">
      <c r="C103">
        <v>101</v>
      </c>
      <c r="D103" t="s">
        <v>100</v>
      </c>
      <c r="E103">
        <v>106.084</v>
      </c>
    </row>
    <row r="104" spans="3:5" x14ac:dyDescent="0.35">
      <c r="C104">
        <v>102</v>
      </c>
      <c r="D104" t="s">
        <v>101</v>
      </c>
      <c r="E104">
        <v>2.16</v>
      </c>
    </row>
    <row r="105" spans="3:5" x14ac:dyDescent="0.35">
      <c r="C105">
        <v>103</v>
      </c>
      <c r="D105" t="s">
        <v>102</v>
      </c>
      <c r="E105">
        <v>3.4169999999999998</v>
      </c>
    </row>
    <row r="106" spans="3:5" x14ac:dyDescent="0.35">
      <c r="C106">
        <v>104</v>
      </c>
      <c r="D106" t="s">
        <v>103</v>
      </c>
      <c r="E106">
        <v>148.15600000000001</v>
      </c>
    </row>
    <row r="107" spans="3:5" x14ac:dyDescent="0.35">
      <c r="C107">
        <v>105</v>
      </c>
      <c r="D107" t="s">
        <v>104</v>
      </c>
      <c r="E107">
        <v>129.798</v>
      </c>
    </row>
    <row r="108" spans="3:5" x14ac:dyDescent="0.35">
      <c r="C108">
        <v>106</v>
      </c>
      <c r="D108" t="s">
        <v>105</v>
      </c>
      <c r="E108">
        <v>2.1960000000000002</v>
      </c>
    </row>
    <row r="109" spans="3:5" x14ac:dyDescent="0.35">
      <c r="C109">
        <v>107</v>
      </c>
      <c r="D109" t="s">
        <v>106</v>
      </c>
      <c r="E109">
        <v>3.77</v>
      </c>
    </row>
    <row r="110" spans="3:5" x14ac:dyDescent="0.35">
      <c r="C110">
        <v>108</v>
      </c>
      <c r="D110" t="s">
        <v>107</v>
      </c>
      <c r="E110">
        <v>148.19999999999999</v>
      </c>
    </row>
    <row r="111" spans="3:5" x14ac:dyDescent="0.35">
      <c r="C111">
        <v>109</v>
      </c>
      <c r="D111" t="s">
        <v>108</v>
      </c>
      <c r="E111">
        <v>158.73699999999999</v>
      </c>
    </row>
    <row r="112" spans="3:5" x14ac:dyDescent="0.35">
      <c r="C112">
        <v>110</v>
      </c>
      <c r="D112" t="s">
        <v>109</v>
      </c>
      <c r="E112">
        <v>2.2389999999999999</v>
      </c>
    </row>
    <row r="113" spans="3:5" x14ac:dyDescent="0.35">
      <c r="C113">
        <v>111</v>
      </c>
      <c r="D113" t="s">
        <v>110</v>
      </c>
      <c r="E113">
        <v>4.2279999999999998</v>
      </c>
    </row>
    <row r="114" spans="3:5" x14ac:dyDescent="0.35">
      <c r="C114">
        <v>112</v>
      </c>
      <c r="D114" t="s">
        <v>111</v>
      </c>
      <c r="E114">
        <v>148.12700000000001</v>
      </c>
    </row>
    <row r="115" spans="3:5" x14ac:dyDescent="0.35">
      <c r="C115">
        <v>113</v>
      </c>
      <c r="D115" t="s">
        <v>112</v>
      </c>
      <c r="E115">
        <v>191.88399999999999</v>
      </c>
    </row>
    <row r="116" spans="3:5" x14ac:dyDescent="0.35">
      <c r="C116">
        <v>114</v>
      </c>
      <c r="D116" t="s">
        <v>113</v>
      </c>
      <c r="E116">
        <v>2.3140000000000001</v>
      </c>
    </row>
    <row r="117" spans="3:5" x14ac:dyDescent="0.35">
      <c r="C117">
        <v>115</v>
      </c>
      <c r="D117" t="s">
        <v>114</v>
      </c>
      <c r="E117">
        <v>4.9089999999999998</v>
      </c>
    </row>
    <row r="118" spans="3:5" x14ac:dyDescent="0.35">
      <c r="C118">
        <v>116</v>
      </c>
      <c r="D118" t="s">
        <v>115</v>
      </c>
      <c r="E118">
        <v>147.9</v>
      </c>
    </row>
    <row r="119" spans="3:5" x14ac:dyDescent="0.35">
      <c r="C119">
        <v>117</v>
      </c>
      <c r="D119" t="s">
        <v>116</v>
      </c>
      <c r="E119">
        <v>234.74799999999999</v>
      </c>
    </row>
    <row r="120" spans="3:5" x14ac:dyDescent="0.35">
      <c r="C120">
        <v>118</v>
      </c>
      <c r="D120" t="s">
        <v>117</v>
      </c>
      <c r="E120">
        <v>2.4119999999999999</v>
      </c>
    </row>
    <row r="121" spans="3:5" x14ac:dyDescent="0.35">
      <c r="C121">
        <v>119</v>
      </c>
      <c r="D121" t="s">
        <v>118</v>
      </c>
      <c r="E121">
        <v>5.9640000000000004</v>
      </c>
    </row>
    <row r="122" spans="3:5" x14ac:dyDescent="0.35">
      <c r="C122">
        <v>120</v>
      </c>
      <c r="D122" t="s">
        <v>119</v>
      </c>
      <c r="E122">
        <v>147.80799999999999</v>
      </c>
    </row>
    <row r="123" spans="3:5" x14ac:dyDescent="0.35">
      <c r="C123">
        <v>121</v>
      </c>
      <c r="D123" t="s">
        <v>120</v>
      </c>
      <c r="E123">
        <v>218.85300000000001</v>
      </c>
    </row>
    <row r="124" spans="3:5" x14ac:dyDescent="0.35">
      <c r="C124">
        <v>122</v>
      </c>
      <c r="D124" t="s">
        <v>121</v>
      </c>
      <c r="E124">
        <v>2.4969999999999999</v>
      </c>
    </row>
    <row r="125" spans="3:5" x14ac:dyDescent="0.35">
      <c r="C125">
        <v>123</v>
      </c>
      <c r="D125" t="s">
        <v>122</v>
      </c>
      <c r="E125">
        <v>6.9420000000000002</v>
      </c>
    </row>
    <row r="126" spans="3:5" x14ac:dyDescent="0.35">
      <c r="C126">
        <v>124</v>
      </c>
      <c r="D126" t="s">
        <v>123</v>
      </c>
      <c r="E126">
        <v>148.001</v>
      </c>
    </row>
    <row r="127" spans="3:5" x14ac:dyDescent="0.35">
      <c r="C127">
        <v>125</v>
      </c>
      <c r="D127" t="s">
        <v>124</v>
      </c>
      <c r="E127">
        <v>132.92699999999999</v>
      </c>
    </row>
    <row r="128" spans="3:5" x14ac:dyDescent="0.35">
      <c r="C128">
        <v>126</v>
      </c>
      <c r="D128" t="s">
        <v>125</v>
      </c>
      <c r="E128">
        <v>2.5059999999999998</v>
      </c>
    </row>
    <row r="129" spans="3:5" x14ac:dyDescent="0.35">
      <c r="C129">
        <v>127</v>
      </c>
      <c r="D129" t="s">
        <v>126</v>
      </c>
      <c r="E129">
        <v>7.4180000000000001</v>
      </c>
    </row>
    <row r="130" spans="3:5" x14ac:dyDescent="0.35">
      <c r="C130">
        <v>128</v>
      </c>
      <c r="D130" t="s">
        <v>127</v>
      </c>
      <c r="E130">
        <v>148.23400000000001</v>
      </c>
    </row>
    <row r="131" spans="3:5" x14ac:dyDescent="0.35">
      <c r="C131">
        <v>129</v>
      </c>
      <c r="D131" t="s">
        <v>128</v>
      </c>
      <c r="E131">
        <v>56.539000000000001</v>
      </c>
    </row>
    <row r="132" spans="3:5" x14ac:dyDescent="0.35">
      <c r="C132">
        <v>130</v>
      </c>
      <c r="D132" t="s">
        <v>129</v>
      </c>
      <c r="E132">
        <v>2.4929999999999999</v>
      </c>
    </row>
    <row r="133" spans="3:5" x14ac:dyDescent="0.35">
      <c r="C133">
        <v>131</v>
      </c>
      <c r="D133" t="s">
        <v>130</v>
      </c>
      <c r="E133">
        <v>7.5380000000000003</v>
      </c>
    </row>
    <row r="134" spans="3:5" x14ac:dyDescent="0.35">
      <c r="C134">
        <v>132</v>
      </c>
      <c r="D134" t="s">
        <v>131</v>
      </c>
      <c r="E134">
        <v>148.374</v>
      </c>
    </row>
    <row r="135" spans="3:5" x14ac:dyDescent="0.35">
      <c r="C135">
        <v>133</v>
      </c>
      <c r="D135" t="s">
        <v>132</v>
      </c>
      <c r="E135">
        <v>20.239999999999998</v>
      </c>
    </row>
    <row r="136" spans="3:5" x14ac:dyDescent="0.35">
      <c r="C136">
        <v>134</v>
      </c>
      <c r="D136" t="s">
        <v>133</v>
      </c>
      <c r="E136">
        <v>2.4860000000000002</v>
      </c>
    </row>
    <row r="137" spans="3:5" x14ac:dyDescent="0.35">
      <c r="C137">
        <v>135</v>
      </c>
      <c r="D137" t="s">
        <v>134</v>
      </c>
      <c r="E137">
        <v>7.56</v>
      </c>
    </row>
    <row r="138" spans="3:5" x14ac:dyDescent="0.35">
      <c r="C138">
        <v>136</v>
      </c>
      <c r="D138" t="s">
        <v>135</v>
      </c>
      <c r="E138">
        <v>148.387</v>
      </c>
    </row>
    <row r="139" spans="3:5" x14ac:dyDescent="0.35">
      <c r="C139">
        <v>137</v>
      </c>
      <c r="D139" t="s">
        <v>136</v>
      </c>
      <c r="E139">
        <v>10.538</v>
      </c>
    </row>
    <row r="140" spans="3:5" x14ac:dyDescent="0.35">
      <c r="C140">
        <v>138</v>
      </c>
      <c r="D140" t="s">
        <v>137</v>
      </c>
      <c r="E140">
        <v>2.4870000000000001</v>
      </c>
    </row>
    <row r="141" spans="3:5" x14ac:dyDescent="0.35">
      <c r="C141">
        <v>139</v>
      </c>
      <c r="D141" t="s">
        <v>138</v>
      </c>
      <c r="E141">
        <v>7.5449999999999999</v>
      </c>
    </row>
    <row r="142" spans="3:5" x14ac:dyDescent="0.35">
      <c r="C142">
        <v>140</v>
      </c>
      <c r="D142" t="s">
        <v>139</v>
      </c>
      <c r="E142">
        <v>148.23699999999999</v>
      </c>
    </row>
    <row r="143" spans="3:5" x14ac:dyDescent="0.35">
      <c r="C143">
        <v>141</v>
      </c>
      <c r="D143" t="s">
        <v>140</v>
      </c>
      <c r="E143">
        <v>6.8659999999999997</v>
      </c>
    </row>
    <row r="144" spans="3:5" x14ac:dyDescent="0.35">
      <c r="C144">
        <v>142</v>
      </c>
      <c r="D144" t="s">
        <v>141</v>
      </c>
      <c r="E144">
        <v>2.4910000000000001</v>
      </c>
    </row>
    <row r="145" spans="3:5" x14ac:dyDescent="0.35">
      <c r="C145">
        <v>143</v>
      </c>
      <c r="D145" t="s">
        <v>142</v>
      </c>
      <c r="E145">
        <v>7.5339999999999998</v>
      </c>
    </row>
    <row r="146" spans="3:5" x14ac:dyDescent="0.35">
      <c r="C146">
        <v>144</v>
      </c>
      <c r="D146" t="s">
        <v>143</v>
      </c>
      <c r="E146">
        <v>148.066</v>
      </c>
    </row>
    <row r="147" spans="3:5" x14ac:dyDescent="0.35">
      <c r="C147">
        <v>145</v>
      </c>
      <c r="D147" t="s">
        <v>144</v>
      </c>
      <c r="E147">
        <v>5.1189999999999998</v>
      </c>
    </row>
    <row r="148" spans="3:5" x14ac:dyDescent="0.35">
      <c r="C148">
        <v>146</v>
      </c>
      <c r="D148" t="s">
        <v>145</v>
      </c>
      <c r="E148">
        <v>2.4889999999999999</v>
      </c>
    </row>
    <row r="149" spans="3:5" x14ac:dyDescent="0.35">
      <c r="C149">
        <v>147</v>
      </c>
      <c r="D149" t="s">
        <v>146</v>
      </c>
      <c r="E149">
        <v>7.5010000000000003</v>
      </c>
    </row>
    <row r="150" spans="3:5" x14ac:dyDescent="0.35">
      <c r="C150">
        <v>148</v>
      </c>
      <c r="D150" t="s">
        <v>147</v>
      </c>
      <c r="E150">
        <v>148.37700000000001</v>
      </c>
    </row>
    <row r="151" spans="3:5" x14ac:dyDescent="0.35">
      <c r="C151">
        <v>149</v>
      </c>
      <c r="D151" t="s">
        <v>148</v>
      </c>
      <c r="E151">
        <v>4.133</v>
      </c>
    </row>
    <row r="152" spans="3:5" x14ac:dyDescent="0.35">
      <c r="C152">
        <v>150</v>
      </c>
      <c r="D152" t="s">
        <v>149</v>
      </c>
      <c r="E152">
        <v>2.4830000000000001</v>
      </c>
    </row>
    <row r="153" spans="3:5" x14ac:dyDescent="0.35">
      <c r="C153">
        <v>151</v>
      </c>
      <c r="D153" t="s">
        <v>150</v>
      </c>
      <c r="E153">
        <v>7.4660000000000002</v>
      </c>
    </row>
    <row r="154" spans="3:5" x14ac:dyDescent="0.35">
      <c r="C154">
        <v>152</v>
      </c>
      <c r="D154" t="s">
        <v>151</v>
      </c>
      <c r="E154">
        <v>148.185</v>
      </c>
    </row>
    <row r="155" spans="3:5" x14ac:dyDescent="0.35">
      <c r="C155">
        <v>153</v>
      </c>
      <c r="D155" t="s">
        <v>152</v>
      </c>
      <c r="E155">
        <v>3.5750000000000002</v>
      </c>
    </row>
    <row r="156" spans="3:5" x14ac:dyDescent="0.35">
      <c r="C156">
        <v>154</v>
      </c>
      <c r="D156" t="s">
        <v>153</v>
      </c>
      <c r="E156">
        <v>2.4769999999999999</v>
      </c>
    </row>
    <row r="157" spans="3:5" x14ac:dyDescent="0.35">
      <c r="C157">
        <v>155</v>
      </c>
      <c r="D157" t="s">
        <v>154</v>
      </c>
      <c r="E157">
        <v>7.4409999999999998</v>
      </c>
    </row>
    <row r="158" spans="3:5" x14ac:dyDescent="0.35">
      <c r="C158">
        <v>156</v>
      </c>
      <c r="D158" t="s">
        <v>155</v>
      </c>
      <c r="E158">
        <v>147.97900000000001</v>
      </c>
    </row>
    <row r="159" spans="3:5" x14ac:dyDescent="0.35">
      <c r="C159">
        <v>157</v>
      </c>
      <c r="D159" t="s">
        <v>156</v>
      </c>
      <c r="E159">
        <v>3.25</v>
      </c>
    </row>
    <row r="160" spans="3:5" x14ac:dyDescent="0.35">
      <c r="C160">
        <v>158</v>
      </c>
      <c r="D160" t="s">
        <v>157</v>
      </c>
      <c r="E160">
        <v>2.4820000000000002</v>
      </c>
    </row>
    <row r="161" spans="3:5" x14ac:dyDescent="0.35">
      <c r="C161">
        <v>159</v>
      </c>
      <c r="D161" t="s">
        <v>158</v>
      </c>
      <c r="E161">
        <v>7.4189999999999996</v>
      </c>
    </row>
    <row r="162" spans="3:5" x14ac:dyDescent="0.35">
      <c r="C162">
        <v>160</v>
      </c>
      <c r="D162" t="s">
        <v>159</v>
      </c>
      <c r="E162">
        <v>148.31</v>
      </c>
    </row>
    <row r="163" spans="3:5" x14ac:dyDescent="0.35">
      <c r="C163">
        <v>161</v>
      </c>
      <c r="D163" t="s">
        <v>160</v>
      </c>
      <c r="E163">
        <v>3.016</v>
      </c>
    </row>
    <row r="164" spans="3:5" x14ac:dyDescent="0.35">
      <c r="C164">
        <v>162</v>
      </c>
      <c r="D164" t="s">
        <v>161</v>
      </c>
      <c r="E164">
        <v>2.4729999999999999</v>
      </c>
    </row>
    <row r="165" spans="3:5" x14ac:dyDescent="0.35">
      <c r="C165">
        <v>163</v>
      </c>
      <c r="D165" t="s">
        <v>162</v>
      </c>
      <c r="E165">
        <v>7.4020000000000001</v>
      </c>
    </row>
    <row r="166" spans="3:5" x14ac:dyDescent="0.35">
      <c r="C166">
        <v>164</v>
      </c>
      <c r="D166" t="s">
        <v>163</v>
      </c>
      <c r="E166">
        <v>148.13999999999999</v>
      </c>
    </row>
    <row r="167" spans="3:5" x14ac:dyDescent="0.35">
      <c r="C167">
        <v>165</v>
      </c>
      <c r="D167" t="s">
        <v>164</v>
      </c>
      <c r="E167">
        <v>2.8919999999999999</v>
      </c>
    </row>
    <row r="168" spans="3:5" x14ac:dyDescent="0.35">
      <c r="C168">
        <v>166</v>
      </c>
      <c r="D168" t="s">
        <v>165</v>
      </c>
      <c r="E168">
        <v>2.472</v>
      </c>
    </row>
    <row r="169" spans="3:5" x14ac:dyDescent="0.35">
      <c r="C169">
        <v>167</v>
      </c>
      <c r="D169" t="s">
        <v>166</v>
      </c>
      <c r="E169">
        <v>7.3639999999999999</v>
      </c>
    </row>
    <row r="170" spans="3:5" x14ac:dyDescent="0.35">
      <c r="C170">
        <v>168</v>
      </c>
      <c r="D170" t="s">
        <v>167</v>
      </c>
      <c r="E170">
        <v>148.23500000000001</v>
      </c>
    </row>
    <row r="171" spans="3:5" x14ac:dyDescent="0.35">
      <c r="C171">
        <v>169</v>
      </c>
      <c r="D171" t="s">
        <v>168</v>
      </c>
      <c r="E171">
        <v>2.78</v>
      </c>
    </row>
    <row r="172" spans="3:5" x14ac:dyDescent="0.35">
      <c r="C172">
        <v>170</v>
      </c>
      <c r="D172" t="s">
        <v>169</v>
      </c>
      <c r="E172">
        <v>2.464</v>
      </c>
    </row>
    <row r="173" spans="3:5" x14ac:dyDescent="0.35">
      <c r="C173">
        <v>171</v>
      </c>
      <c r="D173" t="s">
        <v>170</v>
      </c>
      <c r="E173">
        <v>7.3109999999999999</v>
      </c>
    </row>
    <row r="174" spans="3:5" x14ac:dyDescent="0.35">
      <c r="C174">
        <v>172</v>
      </c>
      <c r="D174" t="s">
        <v>171</v>
      </c>
      <c r="E174">
        <v>147.73699999999999</v>
      </c>
    </row>
    <row r="175" spans="3:5" x14ac:dyDescent="0.35">
      <c r="C175">
        <v>173</v>
      </c>
      <c r="D175" t="s">
        <v>172</v>
      </c>
      <c r="E175">
        <v>2.6920000000000002</v>
      </c>
    </row>
    <row r="176" spans="3:5" x14ac:dyDescent="0.35">
      <c r="C176">
        <v>174</v>
      </c>
      <c r="D176" t="s">
        <v>173</v>
      </c>
      <c r="E176">
        <v>2.4649999999999999</v>
      </c>
    </row>
    <row r="177" spans="3:5" x14ac:dyDescent="0.35">
      <c r="C177">
        <v>175</v>
      </c>
      <c r="D177" t="s">
        <v>174</v>
      </c>
      <c r="E177">
        <v>7.29</v>
      </c>
    </row>
    <row r="178" spans="3:5" x14ac:dyDescent="0.35">
      <c r="C178">
        <v>176</v>
      </c>
      <c r="D178" t="s">
        <v>175</v>
      </c>
      <c r="E178">
        <v>147.84100000000001</v>
      </c>
    </row>
    <row r="179" spans="3:5" x14ac:dyDescent="0.35">
      <c r="C179">
        <v>177</v>
      </c>
      <c r="D179" t="s">
        <v>176</v>
      </c>
      <c r="E179">
        <v>2.6309999999999998</v>
      </c>
    </row>
    <row r="180" spans="3:5" x14ac:dyDescent="0.35">
      <c r="C180">
        <v>178</v>
      </c>
      <c r="D180" t="s">
        <v>177</v>
      </c>
      <c r="E180">
        <v>2.4609999999999999</v>
      </c>
    </row>
    <row r="181" spans="3:5" x14ac:dyDescent="0.35">
      <c r="C181">
        <v>179</v>
      </c>
      <c r="D181" t="s">
        <v>178</v>
      </c>
      <c r="E181">
        <v>7.266</v>
      </c>
    </row>
    <row r="182" spans="3:5" x14ac:dyDescent="0.35">
      <c r="C182">
        <v>180</v>
      </c>
      <c r="D182" t="s">
        <v>179</v>
      </c>
      <c r="E182">
        <v>147.86799999999999</v>
      </c>
    </row>
    <row r="183" spans="3:5" x14ac:dyDescent="0.35">
      <c r="C183">
        <v>181</v>
      </c>
      <c r="D183" t="s">
        <v>180</v>
      </c>
      <c r="E183">
        <v>2.569</v>
      </c>
    </row>
    <row r="184" spans="3:5" x14ac:dyDescent="0.35">
      <c r="C184">
        <v>182</v>
      </c>
      <c r="D184" t="s">
        <v>181</v>
      </c>
      <c r="E184">
        <v>2.4590000000000001</v>
      </c>
    </row>
    <row r="185" spans="3:5" x14ac:dyDescent="0.35">
      <c r="C185">
        <v>183</v>
      </c>
      <c r="D185" t="s">
        <v>182</v>
      </c>
      <c r="E185">
        <v>7.218</v>
      </c>
    </row>
    <row r="186" spans="3:5" x14ac:dyDescent="0.35">
      <c r="C186">
        <v>184</v>
      </c>
      <c r="D186" t="s">
        <v>183</v>
      </c>
      <c r="E186">
        <v>147.91999999999999</v>
      </c>
    </row>
    <row r="187" spans="3:5" x14ac:dyDescent="0.35">
      <c r="C187">
        <v>185</v>
      </c>
      <c r="D187" t="s">
        <v>184</v>
      </c>
      <c r="E187">
        <v>2.5369999999999999</v>
      </c>
    </row>
    <row r="188" spans="3:5" x14ac:dyDescent="0.35">
      <c r="C188">
        <v>186</v>
      </c>
      <c r="D188" t="s">
        <v>185</v>
      </c>
      <c r="E188">
        <v>2.4550000000000001</v>
      </c>
    </row>
    <row r="189" spans="3:5" x14ac:dyDescent="0.35">
      <c r="C189">
        <v>187</v>
      </c>
      <c r="D189" t="s">
        <v>186</v>
      </c>
      <c r="E189">
        <v>7.1980000000000004</v>
      </c>
    </row>
    <row r="190" spans="3:5" x14ac:dyDescent="0.35">
      <c r="C190">
        <v>188</v>
      </c>
      <c r="D190" t="s">
        <v>187</v>
      </c>
      <c r="E190">
        <v>148.02099999999999</v>
      </c>
    </row>
    <row r="191" spans="3:5" x14ac:dyDescent="0.35">
      <c r="C191">
        <v>189</v>
      </c>
      <c r="D191" t="s">
        <v>188</v>
      </c>
      <c r="E191">
        <v>2.31</v>
      </c>
    </row>
    <row r="192" spans="3:5" x14ac:dyDescent="0.35">
      <c r="C192">
        <v>190</v>
      </c>
      <c r="D192" t="s">
        <v>189</v>
      </c>
      <c r="E192">
        <v>2.016</v>
      </c>
    </row>
    <row r="193" spans="3:5" x14ac:dyDescent="0.35">
      <c r="C193">
        <v>191</v>
      </c>
      <c r="D193" t="s">
        <v>190</v>
      </c>
      <c r="E193">
        <v>1.0289999999999999</v>
      </c>
    </row>
    <row r="194" spans="3:5" x14ac:dyDescent="0.35">
      <c r="C194">
        <v>192</v>
      </c>
      <c r="D194" t="s">
        <v>191</v>
      </c>
      <c r="E194">
        <v>161.185</v>
      </c>
    </row>
    <row r="195" spans="3:5" x14ac:dyDescent="0.35">
      <c r="C195">
        <v>193</v>
      </c>
      <c r="D195" t="s">
        <v>192</v>
      </c>
      <c r="E195">
        <v>2.3180000000000001</v>
      </c>
    </row>
    <row r="196" spans="3:5" x14ac:dyDescent="0.35">
      <c r="C196">
        <v>194</v>
      </c>
      <c r="D196" t="s">
        <v>193</v>
      </c>
      <c r="E196">
        <v>2.0150000000000001</v>
      </c>
    </row>
    <row r="197" spans="3:5" x14ac:dyDescent="0.35">
      <c r="C197">
        <v>195</v>
      </c>
      <c r="D197" t="s">
        <v>194</v>
      </c>
      <c r="E197">
        <v>1.032</v>
      </c>
    </row>
    <row r="198" spans="3:5" x14ac:dyDescent="0.35">
      <c r="C198">
        <v>196</v>
      </c>
      <c r="D198" t="s">
        <v>195</v>
      </c>
      <c r="E198">
        <v>160.91800000000001</v>
      </c>
    </row>
    <row r="199" spans="3:5" x14ac:dyDescent="0.35">
      <c r="C199">
        <v>197</v>
      </c>
      <c r="D199" t="s">
        <v>196</v>
      </c>
      <c r="E199">
        <v>2.323</v>
      </c>
    </row>
    <row r="200" spans="3:5" x14ac:dyDescent="0.35">
      <c r="C200">
        <v>198</v>
      </c>
      <c r="D200" t="s">
        <v>197</v>
      </c>
      <c r="E200">
        <v>2.0139999999999998</v>
      </c>
    </row>
    <row r="201" spans="3:5" x14ac:dyDescent="0.35">
      <c r="C201">
        <v>199</v>
      </c>
      <c r="D201" t="s">
        <v>198</v>
      </c>
      <c r="E201">
        <v>1.03</v>
      </c>
    </row>
    <row r="202" spans="3:5" x14ac:dyDescent="0.35">
      <c r="C202">
        <v>200</v>
      </c>
      <c r="D202" t="s">
        <v>199</v>
      </c>
      <c r="E202">
        <v>161.01599999999999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L4:Q16"/>
  <sheetViews>
    <sheetView topLeftCell="C16" workbookViewId="0">
      <selection activeCell="Q4" activeCellId="1" sqref="O4:O16 Q4:Q16"/>
    </sheetView>
  </sheetViews>
  <sheetFormatPr defaultRowHeight="14.5" x14ac:dyDescent="0.35"/>
  <cols>
    <col min="17" max="17" width="11.81640625" bestFit="1" customWidth="1"/>
  </cols>
  <sheetData>
    <row r="4" spans="12:17" x14ac:dyDescent="0.35">
      <c r="L4" s="1" t="s">
        <v>207</v>
      </c>
      <c r="O4">
        <v>1.8278433853748213</v>
      </c>
      <c r="P4">
        <v>5.83</v>
      </c>
      <c r="Q4">
        <f>10^-P4</f>
        <v>1.4791083881682056E-6</v>
      </c>
    </row>
    <row r="5" spans="12:17" x14ac:dyDescent="0.35">
      <c r="L5" s="1" t="s">
        <v>208</v>
      </c>
    </row>
    <row r="7" spans="12:17" x14ac:dyDescent="0.35">
      <c r="O7">
        <v>2.3111032555468127</v>
      </c>
      <c r="P7">
        <v>6.45</v>
      </c>
      <c r="Q7">
        <f>10^-P7</f>
        <v>3.5481338923357463E-7</v>
      </c>
    </row>
    <row r="10" spans="12:17" x14ac:dyDescent="0.35">
      <c r="O10">
        <v>5.1830170585061524</v>
      </c>
      <c r="P10">
        <v>7.13</v>
      </c>
      <c r="Q10">
        <f>10^-P10</f>
        <v>7.413102413009154E-8</v>
      </c>
    </row>
    <row r="13" spans="12:17" x14ac:dyDescent="0.35">
      <c r="O13">
        <v>8.4368603382933518</v>
      </c>
      <c r="P13">
        <v>7.59</v>
      </c>
      <c r="Q13">
        <f>10^-P13</f>
        <v>2.5703957827688587E-8</v>
      </c>
    </row>
    <row r="16" spans="12:17" x14ac:dyDescent="0.35">
      <c r="O16">
        <v>14.652141554612177</v>
      </c>
      <c r="P16">
        <v>8.15</v>
      </c>
      <c r="Q16">
        <f>10^-P16</f>
        <v>7.0794578438413513E-9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Sheet3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 Howley</dc:creator>
  <cp:lastModifiedBy>Ethan Howley</cp:lastModifiedBy>
  <dcterms:created xsi:type="dcterms:W3CDTF">2018-02-21T19:08:12Z</dcterms:created>
  <dcterms:modified xsi:type="dcterms:W3CDTF">2018-02-21T22:16:34Z</dcterms:modified>
</cp:coreProperties>
</file>